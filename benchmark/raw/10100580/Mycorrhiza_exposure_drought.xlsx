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.helsinki.fi\home\q\quesadaa\Documents\Gonzalo\PHD project\Lab experiment\Final data\"/>
    </mc:Choice>
  </mc:AlternateContent>
  <bookViews>
    <workbookView xWindow="0" yWindow="0" windowWidth="19200" windowHeight="7050"/>
  </bookViews>
  <sheets>
    <sheet name="Measurements" sheetId="1" r:id="rId1"/>
    <sheet name="Readme" sheetId="2" r:id="rId2"/>
    <sheet name="EMF" sheetId="3" r:id="rId3"/>
  </sheets>
  <definedNames>
    <definedName name="_xlnm._FilterDatabase" localSheetId="0" hidden="1">Measurements!$A$1:$W$281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1" l="1"/>
  <c r="V11" i="1"/>
  <c r="V12" i="1"/>
  <c r="V16" i="1"/>
  <c r="V19" i="1"/>
  <c r="V24" i="1"/>
  <c r="V25" i="1"/>
  <c r="V30" i="1"/>
  <c r="V33" i="1"/>
  <c r="V34" i="1"/>
  <c r="V40" i="1"/>
  <c r="V42" i="1"/>
  <c r="V43" i="1"/>
  <c r="V51" i="1"/>
  <c r="V55" i="1"/>
  <c r="V57" i="1"/>
  <c r="V61" i="1"/>
  <c r="V62" i="1"/>
  <c r="V63" i="1"/>
  <c r="V66" i="1"/>
  <c r="V74" i="1"/>
  <c r="V75" i="1"/>
  <c r="V80" i="1"/>
  <c r="V83" i="1"/>
  <c r="V85" i="1"/>
  <c r="V90" i="1"/>
  <c r="V94" i="1"/>
  <c r="V97" i="1"/>
  <c r="V101" i="1"/>
  <c r="V102" i="1"/>
  <c r="V103" i="1"/>
  <c r="V111" i="1"/>
  <c r="V112" i="1"/>
  <c r="V117" i="1"/>
  <c r="V121" i="1"/>
  <c r="V122" i="1"/>
  <c r="V124" i="1"/>
  <c r="V131" i="1"/>
  <c r="V132" i="1"/>
  <c r="V133" i="1"/>
  <c r="V138" i="1"/>
  <c r="V143" i="1"/>
  <c r="V145" i="1"/>
  <c r="V151" i="1"/>
  <c r="V157" i="1"/>
  <c r="V158" i="1"/>
  <c r="V161" i="1"/>
  <c r="V162" i="1"/>
  <c r="V164" i="1"/>
  <c r="V171" i="1"/>
  <c r="V174" i="1"/>
  <c r="V178" i="1"/>
  <c r="V181" i="1"/>
  <c r="V182" i="1"/>
  <c r="V183" i="1"/>
  <c r="V191" i="1"/>
  <c r="V192" i="1"/>
  <c r="V193" i="1"/>
  <c r="V200" i="1"/>
  <c r="V202" i="1"/>
  <c r="V203" i="1"/>
  <c r="V207" i="1"/>
  <c r="V215" i="1"/>
  <c r="V216" i="1"/>
  <c r="V220" i="1"/>
  <c r="V222" i="1"/>
  <c r="V223" i="1"/>
  <c r="V230" i="1"/>
  <c r="V233" i="1"/>
  <c r="V235" i="1"/>
  <c r="V241" i="1"/>
  <c r="V242" i="1"/>
  <c r="V243" i="1"/>
  <c r="V251" i="1"/>
  <c r="V254" i="1"/>
  <c r="V256" i="1"/>
  <c r="V261" i="1"/>
  <c r="V262" i="1"/>
  <c r="V263" i="1"/>
  <c r="V271" i="1"/>
  <c r="V272" i="1"/>
  <c r="V275" i="1"/>
  <c r="V281" i="1"/>
  <c r="V3" i="1"/>
</calcChain>
</file>

<file path=xl/sharedStrings.xml><?xml version="1.0" encoding="utf-8"?>
<sst xmlns="http://schemas.openxmlformats.org/spreadsheetml/2006/main" count="1511" uniqueCount="375">
  <si>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</si>
  <si>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</si>
  <si>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</si>
  <si>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</si>
  <si>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</si>
  <si>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</si>
  <si>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</si>
  <si>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</si>
  <si>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</si>
  <si>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</si>
  <si>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3D01</t>
  </si>
  <si>
    <t>3D02</t>
  </si>
  <si>
    <t>3D03</t>
  </si>
  <si>
    <t>3D04</t>
  </si>
  <si>
    <t>3D05</t>
  </si>
  <si>
    <t>3D06</t>
  </si>
  <si>
    <t>3D07</t>
  </si>
  <si>
    <t>3D08</t>
  </si>
  <si>
    <t>3D09</t>
  </si>
  <si>
    <t>3D10</t>
  </si>
  <si>
    <t>4D01</t>
  </si>
  <si>
    <t>4D02</t>
  </si>
  <si>
    <t>4D03</t>
  </si>
  <si>
    <t>4D04</t>
  </si>
  <si>
    <t>4D05</t>
  </si>
  <si>
    <t>4D06</t>
  </si>
  <si>
    <t>4D07</t>
  </si>
  <si>
    <t>4D08</t>
  </si>
  <si>
    <t>4D09</t>
  </si>
  <si>
    <t>4D10</t>
  </si>
  <si>
    <t>5D01</t>
  </si>
  <si>
    <t>5D02</t>
  </si>
  <si>
    <t>5D03</t>
  </si>
  <si>
    <t>5D04</t>
  </si>
  <si>
    <t>5D05</t>
  </si>
  <si>
    <t>5D06</t>
  </si>
  <si>
    <t>5D07</t>
  </si>
  <si>
    <t>5D08</t>
  </si>
  <si>
    <t>5D09</t>
  </si>
  <si>
    <t>5D10</t>
  </si>
  <si>
    <t>6D01</t>
  </si>
  <si>
    <t>6D02</t>
  </si>
  <si>
    <t>6D03</t>
  </si>
  <si>
    <t>6D04</t>
  </si>
  <si>
    <t>6D05</t>
  </si>
  <si>
    <t>6D06</t>
  </si>
  <si>
    <t>6D07</t>
  </si>
  <si>
    <t>6D08</t>
  </si>
  <si>
    <t>6D09</t>
  </si>
  <si>
    <t>6D10</t>
  </si>
  <si>
    <t>7D01</t>
  </si>
  <si>
    <t>7D02</t>
  </si>
  <si>
    <t>7D03</t>
  </si>
  <si>
    <t>7D04</t>
  </si>
  <si>
    <t>7D05</t>
  </si>
  <si>
    <t>7D06</t>
  </si>
  <si>
    <t>7D07</t>
  </si>
  <si>
    <t>7D08</t>
  </si>
  <si>
    <t>7D09</t>
  </si>
  <si>
    <t>7D10</t>
  </si>
  <si>
    <t>8D01</t>
  </si>
  <si>
    <t>8D02</t>
  </si>
  <si>
    <t>8D03</t>
  </si>
  <si>
    <t>8D04</t>
  </si>
  <si>
    <t>8D05</t>
  </si>
  <si>
    <t>8D06</t>
  </si>
  <si>
    <t>8D07</t>
  </si>
  <si>
    <t>8D08</t>
  </si>
  <si>
    <t>8D09</t>
  </si>
  <si>
    <t>8D10</t>
  </si>
  <si>
    <t>9D01</t>
  </si>
  <si>
    <t>9D02</t>
  </si>
  <si>
    <t>9D03</t>
  </si>
  <si>
    <t>9D04</t>
  </si>
  <si>
    <t>9D05</t>
  </si>
  <si>
    <t>9D06</t>
  </si>
  <si>
    <t>9D07</t>
  </si>
  <si>
    <t>9D08</t>
  </si>
  <si>
    <t>9D09</t>
  </si>
  <si>
    <t>9D10</t>
  </si>
  <si>
    <t>10D01</t>
  </si>
  <si>
    <t>10D02</t>
  </si>
  <si>
    <t>10D03</t>
  </si>
  <si>
    <t>10D04</t>
  </si>
  <si>
    <t>10D05</t>
  </si>
  <si>
    <t>10D06</t>
  </si>
  <si>
    <t>10D07</t>
  </si>
  <si>
    <t>10D08</t>
  </si>
  <si>
    <t>10D09</t>
  </si>
  <si>
    <t>10D10</t>
  </si>
  <si>
    <t>11D01</t>
  </si>
  <si>
    <t>11D02</t>
  </si>
  <si>
    <t>11D03</t>
  </si>
  <si>
    <t>11D04</t>
  </si>
  <si>
    <t>11D05</t>
  </si>
  <si>
    <t>11D06</t>
  </si>
  <si>
    <t>11D07</t>
  </si>
  <si>
    <t>11D08</t>
  </si>
  <si>
    <t>11D09</t>
  </si>
  <si>
    <t>11D10</t>
  </si>
  <si>
    <t>12D01</t>
  </si>
  <si>
    <t>12D02</t>
  </si>
  <si>
    <t>12D03</t>
  </si>
  <si>
    <t>12D04</t>
  </si>
  <si>
    <t>12D05</t>
  </si>
  <si>
    <t>12D06</t>
  </si>
  <si>
    <t>12D07</t>
  </si>
  <si>
    <t>12D08</t>
  </si>
  <si>
    <t>12D09</t>
  </si>
  <si>
    <t>12D10</t>
  </si>
  <si>
    <t>HcD01</t>
  </si>
  <si>
    <t>HcD02</t>
  </si>
  <si>
    <t>HcD03</t>
  </si>
  <si>
    <t>HcD04</t>
  </si>
  <si>
    <t>HcD05</t>
  </si>
  <si>
    <t>HcD06</t>
  </si>
  <si>
    <t>HcD07</t>
  </si>
  <si>
    <t>HcD08</t>
  </si>
  <si>
    <t>HcD09</t>
  </si>
  <si>
    <t>HcD10</t>
  </si>
  <si>
    <t>HtD01</t>
  </si>
  <si>
    <t>HtD02</t>
  </si>
  <si>
    <t>HtD03</t>
  </si>
  <si>
    <t>HtD04</t>
  </si>
  <si>
    <t>HtD05</t>
  </si>
  <si>
    <t>HtD06</t>
  </si>
  <si>
    <t>HtD07</t>
  </si>
  <si>
    <t>HtD08</t>
  </si>
  <si>
    <t>HtD09</t>
  </si>
  <si>
    <t>HtD10</t>
  </si>
  <si>
    <t>HdD01</t>
  </si>
  <si>
    <t>HdD02</t>
  </si>
  <si>
    <t>HdD03</t>
  </si>
  <si>
    <t>HdD04</t>
  </si>
  <si>
    <t>HdD05</t>
  </si>
  <si>
    <t>HdD06</t>
  </si>
  <si>
    <t>HdD07</t>
  </si>
  <si>
    <t>HdD08</t>
  </si>
  <si>
    <t>HdD09</t>
  </si>
  <si>
    <t>HdD10</t>
  </si>
  <si>
    <t>ag_biomass</t>
  </si>
  <si>
    <t>area_mm</t>
  </si>
  <si>
    <t>perimeter_mm</t>
  </si>
  <si>
    <t>qy_max</t>
  </si>
  <si>
    <t>npq_lss</t>
  </si>
  <si>
    <t>code</t>
  </si>
  <si>
    <t>CM01</t>
  </si>
  <si>
    <t>CM02</t>
  </si>
  <si>
    <t>CM03</t>
  </si>
  <si>
    <t>CM04</t>
  </si>
  <si>
    <t>CM05</t>
  </si>
  <si>
    <t>CM06</t>
  </si>
  <si>
    <t>CM07</t>
  </si>
  <si>
    <t>CM08</t>
  </si>
  <si>
    <t>CM09</t>
  </si>
  <si>
    <t>CM10</t>
  </si>
  <si>
    <t>3M01</t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</si>
  <si>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</si>
  <si>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</si>
  <si>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</si>
  <si>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</si>
  <si>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</si>
  <si>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</si>
  <si>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</si>
  <si>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</si>
  <si>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</si>
  <si>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4M01</t>
  </si>
  <si>
    <t>4M02</t>
  </si>
  <si>
    <t>4M03</t>
  </si>
  <si>
    <t>4M04</t>
  </si>
  <si>
    <t>4M05</t>
  </si>
  <si>
    <t>4M06</t>
  </si>
  <si>
    <t>4M07</t>
  </si>
  <si>
    <t>4M08</t>
  </si>
  <si>
    <t>4M09</t>
  </si>
  <si>
    <t>4M10</t>
  </si>
  <si>
    <t>5M01</t>
  </si>
  <si>
    <t>5M02</t>
  </si>
  <si>
    <t>5M03</t>
  </si>
  <si>
    <t>5M04</t>
  </si>
  <si>
    <t>5M05</t>
  </si>
  <si>
    <t>5M06</t>
  </si>
  <si>
    <t>5M07</t>
  </si>
  <si>
    <t>5M08</t>
  </si>
  <si>
    <t>5M09</t>
  </si>
  <si>
    <t>5M10</t>
  </si>
  <si>
    <t>6M01</t>
  </si>
  <si>
    <t>6M02</t>
  </si>
  <si>
    <t>6M03</t>
  </si>
  <si>
    <t>6M04</t>
  </si>
  <si>
    <t>6M05</t>
  </si>
  <si>
    <t>6M06</t>
  </si>
  <si>
    <t>6M07</t>
  </si>
  <si>
    <t>6M08</t>
  </si>
  <si>
    <t>6M09</t>
  </si>
  <si>
    <t>6M10</t>
  </si>
  <si>
    <t>7M01</t>
  </si>
  <si>
    <t>7M02</t>
  </si>
  <si>
    <t>7M03</t>
  </si>
  <si>
    <t>7M04</t>
  </si>
  <si>
    <t>7M05</t>
  </si>
  <si>
    <t>7M06</t>
  </si>
  <si>
    <t>7M07</t>
  </si>
  <si>
    <t>7M08</t>
  </si>
  <si>
    <t>7M09</t>
  </si>
  <si>
    <t>7M10</t>
  </si>
  <si>
    <t>8M01</t>
  </si>
  <si>
    <t>8M02</t>
  </si>
  <si>
    <t>8M03</t>
  </si>
  <si>
    <t>8M04</t>
  </si>
  <si>
    <t>8M05</t>
  </si>
  <si>
    <t>8M06</t>
  </si>
  <si>
    <t>8M07</t>
  </si>
  <si>
    <t>8M08</t>
  </si>
  <si>
    <t>8M09</t>
  </si>
  <si>
    <t>8M10</t>
  </si>
  <si>
    <t>9M01</t>
  </si>
  <si>
    <t>9M02</t>
  </si>
  <si>
    <t>9M03</t>
  </si>
  <si>
    <t>9M04</t>
  </si>
  <si>
    <t>9M05</t>
  </si>
  <si>
    <t>9M06</t>
  </si>
  <si>
    <t>9M07</t>
  </si>
  <si>
    <t>9M08</t>
  </si>
  <si>
    <t>9M09</t>
  </si>
  <si>
    <t>9M10</t>
  </si>
  <si>
    <t>10M01</t>
  </si>
  <si>
    <t>10M02</t>
  </si>
  <si>
    <t>10M03</t>
  </si>
  <si>
    <t>10M04</t>
  </si>
  <si>
    <t>10M05</t>
  </si>
  <si>
    <t>10M06</t>
  </si>
  <si>
    <t>10M07</t>
  </si>
  <si>
    <t>10M08</t>
  </si>
  <si>
    <t>10M09</t>
  </si>
  <si>
    <t>10M10</t>
  </si>
  <si>
    <t>11M01</t>
  </si>
  <si>
    <t>11M02</t>
  </si>
  <si>
    <t>11M03</t>
  </si>
  <si>
    <t>11M04</t>
  </si>
  <si>
    <t>11M05</t>
  </si>
  <si>
    <t>11M06</t>
  </si>
  <si>
    <t>11M07</t>
  </si>
  <si>
    <t>11M08</t>
  </si>
  <si>
    <t>11M09</t>
  </si>
  <si>
    <t>11M10</t>
  </si>
  <si>
    <t>12M01</t>
  </si>
  <si>
    <t>12M02</t>
  </si>
  <si>
    <t>12M03</t>
  </si>
  <si>
    <t>12M04</t>
  </si>
  <si>
    <t>12M05</t>
  </si>
  <si>
    <t>12M06</t>
  </si>
  <si>
    <t>12M07</t>
  </si>
  <si>
    <t>12M08</t>
  </si>
  <si>
    <t>12M09</t>
  </si>
  <si>
    <t>12M10</t>
  </si>
  <si>
    <t>HcM01</t>
  </si>
  <si>
    <t>HcM02</t>
  </si>
  <si>
    <t>HcM03</t>
  </si>
  <si>
    <t>HcM04</t>
  </si>
  <si>
    <t>HcM05</t>
  </si>
  <si>
    <t>HcM06</t>
  </si>
  <si>
    <t>HcM07</t>
  </si>
  <si>
    <t>HcM08</t>
  </si>
  <si>
    <t>HcM09</t>
  </si>
  <si>
    <t>HcM10</t>
  </si>
  <si>
    <t>HtM01</t>
  </si>
  <si>
    <t>HtM02</t>
  </si>
  <si>
    <t>HtM03</t>
  </si>
  <si>
    <t>HtM04</t>
  </si>
  <si>
    <t>HtM05</t>
  </si>
  <si>
    <t>HtM06</t>
  </si>
  <si>
    <t>HtM07</t>
  </si>
  <si>
    <t>HtM08</t>
  </si>
  <si>
    <t>HtM09</t>
  </si>
  <si>
    <t>HtM10</t>
  </si>
  <si>
    <t>HdM01</t>
  </si>
  <si>
    <t>HdM02</t>
  </si>
  <si>
    <t>HdM03</t>
  </si>
  <si>
    <t>HdM04</t>
  </si>
  <si>
    <t>HdM05</t>
  </si>
  <si>
    <t>HdM06</t>
  </si>
  <si>
    <t>HdM07</t>
  </si>
  <si>
    <t>HdM08</t>
  </si>
  <si>
    <t>HdM09</t>
  </si>
  <si>
    <t>HdM10</t>
  </si>
  <si>
    <t>treat</t>
  </si>
  <si>
    <t>bg_biomass</t>
  </si>
  <si>
    <t>surface_1_order</t>
  </si>
  <si>
    <t>Tips_number</t>
  </si>
  <si>
    <t>Tips_length</t>
  </si>
  <si>
    <t>Totallength_1storder_cm</t>
  </si>
  <si>
    <t>Surfacearea_tips_m2</t>
  </si>
  <si>
    <t>Total_length_cm</t>
  </si>
  <si>
    <t>specific_rootlength</t>
  </si>
  <si>
    <t>needle_bio</t>
  </si>
  <si>
    <t>wp_10d</t>
  </si>
  <si>
    <t>wp_24d</t>
  </si>
  <si>
    <t>trans_24_bio</t>
  </si>
  <si>
    <t>trans_10_bio</t>
  </si>
  <si>
    <t>strain</t>
  </si>
  <si>
    <t>Po</t>
  </si>
  <si>
    <t>Sv</t>
  </si>
  <si>
    <t>Cg</t>
  </si>
  <si>
    <t>Sb</t>
  </si>
  <si>
    <t>Ap</t>
  </si>
  <si>
    <t>Lr</t>
  </si>
  <si>
    <t>Rr</t>
  </si>
  <si>
    <t>R</t>
  </si>
  <si>
    <t>Ll</t>
  </si>
  <si>
    <t>Control</t>
  </si>
  <si>
    <t>Hu</t>
  </si>
  <si>
    <t>hyphae</t>
  </si>
  <si>
    <t>hydro</t>
  </si>
  <si>
    <t>Long</t>
  </si>
  <si>
    <t>Medium</t>
  </si>
  <si>
    <t>Short</t>
  </si>
  <si>
    <t>Hydrophilic</t>
  </si>
  <si>
    <t>Hydrophobic</t>
  </si>
  <si>
    <t>soil</t>
  </si>
  <si>
    <t>Hv</t>
  </si>
  <si>
    <t>Individual plant code</t>
  </si>
  <si>
    <t>D</t>
  </si>
  <si>
    <t>M</t>
  </si>
  <si>
    <t>Treatment; M=Normally irrigated; D=Drought stressed</t>
  </si>
  <si>
    <t>EMF exploration type hyphae</t>
  </si>
  <si>
    <t xml:space="preserve">Hydrophobicity </t>
  </si>
  <si>
    <t>Above gorund biomass (g)</t>
  </si>
  <si>
    <t>Needle biomass (g)</t>
  </si>
  <si>
    <t>Seedlings crown perimeter voew from above (mm)</t>
  </si>
  <si>
    <t>Seedling needle area view from above (mm2)</t>
  </si>
  <si>
    <t>Below ground biomass (g)</t>
  </si>
  <si>
    <t>Total length of first order roots (cm)</t>
  </si>
  <si>
    <t>Tips surface area (m2)</t>
  </si>
  <si>
    <t>Total root length (cm)</t>
  </si>
  <si>
    <t>Surface area of first order roots (m2)</t>
  </si>
  <si>
    <t>Length of root tips (cm)</t>
  </si>
  <si>
    <t>Tranpiration rate at day 24 by needle biomass (mgH2O g-1needle biomass h-1)</t>
  </si>
  <si>
    <t>Tranpiration rate at day 10 by needle biomass (mgH2O g-1needle biomass h-1)</t>
  </si>
  <si>
    <t>Needle water potential at day 10 (MPa)</t>
  </si>
  <si>
    <t>Needle water potential at day 24 (MPa)</t>
  </si>
  <si>
    <t xml:space="preserve">Number of root tips </t>
  </si>
  <si>
    <t>Specific root length (m.g-1)</t>
  </si>
  <si>
    <t>Maximum quantum yield</t>
  </si>
  <si>
    <t>Steady-state non-photochemical quenching</t>
  </si>
  <si>
    <t>EMF species</t>
  </si>
  <si>
    <t>Original specimen ID</t>
  </si>
  <si>
    <t>Amanita porphyria (Ap)</t>
  </si>
  <si>
    <t>FBCC 1398</t>
  </si>
  <si>
    <t>Cenococcum geophilum (Cg)</t>
  </si>
  <si>
    <t>FBCC 1409</t>
  </si>
  <si>
    <t>Laccaria laccata (Ll)</t>
  </si>
  <si>
    <t>FBCC 2123</t>
  </si>
  <si>
    <t>Lactarius rufus isolate rufus008 (Lr)</t>
  </si>
  <si>
    <t>FBCC 1389</t>
  </si>
  <si>
    <t>Hyaloscypha variabilis (Hv)</t>
  </si>
  <si>
    <t>FBCC2112</t>
  </si>
  <si>
    <t>Piloderma olivaceum (Po)</t>
  </si>
  <si>
    <t>FBCC 1391</t>
  </si>
  <si>
    <t xml:space="preserve">Rhizopogon roseolus clone NS202A (Rr) </t>
  </si>
  <si>
    <t>FBCC 1410</t>
  </si>
  <si>
    <t>Russula sp. (R)</t>
  </si>
  <si>
    <t>FBCC 2133</t>
  </si>
  <si>
    <t xml:space="preserve">Suillus bovinus DAN (Sb) </t>
  </si>
  <si>
    <t>FBCC 2054</t>
  </si>
  <si>
    <t>Suillus variegatus  (Sv)</t>
  </si>
  <si>
    <t>FBCC 2091</t>
  </si>
  <si>
    <t>Code</t>
  </si>
  <si>
    <t>Ht</t>
  </si>
  <si>
    <t>Hd</t>
  </si>
  <si>
    <t>Soil inoculum from an unthinned pine-dominated forest</t>
  </si>
  <si>
    <t>Soil inoculum from a thinned pine-dominated forest</t>
  </si>
  <si>
    <t>Soil inoculum from a dry pine-dominated forest</t>
  </si>
  <si>
    <t>Collected from Hyytiälä research station</t>
  </si>
  <si>
    <t>Ectomycorrhizal fungi strain exposure found in (EMF)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</si>
</sst>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1"/>
  <sheetViews>
    <sheetView tabSelected="1" workbookViewId="0">
      <selection activeCell="D14" sqref="D14"/>
    </sheetView>
  </sheetViews>
  <sheetFormatPr defaultRowHeight="14.5" x14ac:dyDescent="0.35"/>
  <cols>
    <col min="2" max="4" width="8.7265625" style="3" customWidth="1"/>
    <col min="5" max="5" width="11.54296875" style="3" bestFit="1" customWidth="1"/>
    <col min="6" max="7" width="13.08984375" customWidth="1"/>
    <col min="8" max="9" width="16.453125" customWidth="1"/>
    <col min="10" max="10" width="17.54296875" customWidth="1"/>
    <col min="11" max="11" width="16.453125" customWidth="1"/>
    <col min="12" max="13" width="15" customWidth="1"/>
    <col min="14" max="15" width="19" customWidth="1"/>
    <col min="16" max="16" width="10.7265625" style="2" customWidth="1"/>
    <col min="17" max="17" width="23.26953125" customWidth="1"/>
    <col min="18" max="18" width="20.6328125" customWidth="1"/>
    <col min="19" max="19" width="16" customWidth="1"/>
    <col min="20" max="20" width="14.6328125" customWidth="1"/>
    <col min="21" max="21" width="11.81640625" customWidth="1"/>
    <col min="22" max="22" width="10.36328125" customWidth="1"/>
    <col min="23" max="23" width="16.7265625" bestFit="1" customWidth="1"/>
    <col min="24" max="24" width="18.36328125" bestFit="1" customWidth="1"/>
    <col min="25" max="25" width="17" bestFit="1" customWidth="1"/>
  </cols>
  <sheetData>
    <row r="1" spans="1:23" x14ac:dyDescent="0.35">
      <c r="A1" t="s">
        <v>145</v>
      </c>
      <c r="B1" t="s">
        <v>300</v>
      </c>
      <c r="C1" t="s">
        <v>286</v>
      </c>
      <c r="D1" t="s">
        <v>312</v>
      </c>
      <c r="E1" t="s">
        <v>313</v>
      </c>
      <c r="F1" t="s">
        <v>140</v>
      </c>
      <c r="G1" t="s">
        <v>295</v>
      </c>
      <c r="H1" t="s">
        <v>141</v>
      </c>
      <c r="I1" t="s">
        <v>142</v>
      </c>
      <c r="J1" t="s">
        <v>143</v>
      </c>
      <c r="K1" s="1" t="s">
        <v>144</v>
      </c>
      <c r="L1" t="s">
        <v>298</v>
      </c>
      <c r="M1" t="s">
        <v>299</v>
      </c>
      <c r="N1" t="s">
        <v>296</v>
      </c>
      <c r="O1" t="s">
        <v>297</v>
      </c>
      <c r="P1" s="5" t="s">
        <v>287</v>
      </c>
      <c r="Q1" s="4" t="s">
        <v>291</v>
      </c>
      <c r="R1" s="4" t="s">
        <v>292</v>
      </c>
      <c r="S1" t="s">
        <v>293</v>
      </c>
      <c r="T1" t="s">
        <v>288</v>
      </c>
      <c r="U1" t="s">
        <v>289</v>
      </c>
      <c r="V1" t="s">
        <v>290</v>
      </c>
      <c r="W1" t="s">
        <v>294</v>
      </c>
    </row>
    <row r="2" spans="1:23" x14ac:dyDescent="0.35">
      <c r="A2" s="2" t="s">
        <v>80</v>
      </c>
      <c r="B2" s="3" t="s">
        <v>320</v>
      </c>
      <c r="C2" s="3" t="s">
        <v>322</v>
      </c>
      <c r="D2" s="3" t="s">
        <v>316</v>
      </c>
      <c r="E2" s="3" t="s">
        <v>317</v>
      </c>
      <c r="F2">
        <v>5.88</v>
      </c>
      <c r="G2">
        <v>3.96</v>
      </c>
      <c r="H2">
        <v>14988.1142318907</v>
      </c>
      <c r="I2">
        <v>7384.1953033548198</v>
      </c>
      <c r="J2">
        <v>0.76930675679011595</v>
      </c>
      <c r="K2">
        <v>3.0475484265775301</v>
      </c>
      <c r="L2">
        <v>237.37373737373679</v>
      </c>
      <c r="M2">
        <v>154.0404040404039</v>
      </c>
      <c r="N2" s="2">
        <v>-1.0150000000000001</v>
      </c>
      <c r="O2" s="2">
        <v>-0.47899999999999998</v>
      </c>
    </row>
    <row r="3" spans="1:23" x14ac:dyDescent="0.35">
      <c r="A3" s="2" t="s">
        <v>81</v>
      </c>
      <c r="B3" s="3" t="s">
        <v>320</v>
      </c>
      <c r="C3" s="3" t="s">
        <v>322</v>
      </c>
      <c r="D3" s="3" t="s">
        <v>316</v>
      </c>
      <c r="E3" s="3" t="s">
        <v>317</v>
      </c>
      <c r="F3">
        <v>6.6</v>
      </c>
      <c r="G3">
        <v>4.66</v>
      </c>
      <c r="H3">
        <v>14048.4444550143</v>
      </c>
      <c r="I3">
        <v>8633.6393042371801</v>
      </c>
      <c r="J3">
        <v>0.70093239023015097</v>
      </c>
      <c r="K3">
        <v>3.3376811333683398</v>
      </c>
      <c r="L3">
        <v>251.07296137338787</v>
      </c>
      <c r="M3">
        <v>196.35193133047648</v>
      </c>
      <c r="N3" s="2"/>
      <c r="O3" s="2"/>
      <c r="P3" s="2">
        <v>6.84</v>
      </c>
      <c r="Q3">
        <v>98.911799999999999</v>
      </c>
      <c r="R3">
        <v>192.80279999999999</v>
      </c>
      <c r="S3">
        <v>1038.6007</v>
      </c>
      <c r="T3">
        <v>10.0861</v>
      </c>
      <c r="U3">
        <v>597</v>
      </c>
      <c r="V3">
        <f>+U3/S3</f>
        <v>0.5748118598418045</v>
      </c>
      <c r="W3">
        <v>8.5614175438596494</v>
      </c>
    </row>
    <row r="4" spans="1:23" x14ac:dyDescent="0.35">
      <c r="A4" s="2" t="s">
        <v>82</v>
      </c>
      <c r="B4" s="3" t="s">
        <v>320</v>
      </c>
      <c r="C4" s="3" t="s">
        <v>322</v>
      </c>
      <c r="D4" s="3" t="s">
        <v>316</v>
      </c>
      <c r="E4" s="3" t="s">
        <v>317</v>
      </c>
      <c r="F4">
        <v>5.31</v>
      </c>
      <c r="G4">
        <v>2.63</v>
      </c>
      <c r="H4">
        <v>10009.307576356699</v>
      </c>
      <c r="I4">
        <v>5654.5567986954202</v>
      </c>
      <c r="J4">
        <v>0.851262813740432</v>
      </c>
      <c r="K4">
        <v>2.1575491480282301</v>
      </c>
      <c r="L4">
        <v>319.39163498098992</v>
      </c>
      <c r="M4">
        <v>112.1673003802288</v>
      </c>
      <c r="N4" s="2"/>
      <c r="O4" s="2"/>
    </row>
    <row r="5" spans="1:23" x14ac:dyDescent="0.35">
      <c r="A5" s="2" t="s">
        <v>83</v>
      </c>
      <c r="B5" s="3" t="s">
        <v>320</v>
      </c>
      <c r="C5" s="3" t="s">
        <v>322</v>
      </c>
      <c r="D5" s="3" t="s">
        <v>316</v>
      </c>
      <c r="E5" s="3" t="s">
        <v>317</v>
      </c>
      <c r="F5">
        <v>3.95</v>
      </c>
      <c r="G5">
        <v>2.2400000000000002</v>
      </c>
      <c r="H5">
        <v>11841.462617003999</v>
      </c>
      <c r="I5">
        <v>5573.1983738908102</v>
      </c>
      <c r="J5">
        <v>0.84005238134090199</v>
      </c>
      <c r="K5">
        <v>2.2149805537717402</v>
      </c>
      <c r="L5">
        <v>366.07142857142549</v>
      </c>
      <c r="M5">
        <v>20.089285714286472</v>
      </c>
      <c r="N5" s="2"/>
      <c r="O5" s="2"/>
    </row>
    <row r="6" spans="1:23" x14ac:dyDescent="0.35">
      <c r="A6" s="2" t="s">
        <v>84</v>
      </c>
      <c r="B6" s="3" t="s">
        <v>320</v>
      </c>
      <c r="C6" s="3" t="s">
        <v>322</v>
      </c>
      <c r="D6" s="3" t="s">
        <v>316</v>
      </c>
      <c r="E6" s="3" t="s">
        <v>317</v>
      </c>
      <c r="F6">
        <v>6.1</v>
      </c>
      <c r="G6">
        <v>4.12</v>
      </c>
      <c r="H6">
        <v>14033.2493140477</v>
      </c>
      <c r="I6">
        <v>5355.9260626169498</v>
      </c>
      <c r="J6">
        <v>0.82739203078315704</v>
      </c>
      <c r="K6">
        <v>2.4686298204916901</v>
      </c>
      <c r="L6">
        <v>269.41747572815524</v>
      </c>
      <c r="M6">
        <v>183.25242718446492</v>
      </c>
      <c r="N6" s="2"/>
      <c r="O6" s="2"/>
      <c r="P6" s="2">
        <v>6.64</v>
      </c>
      <c r="Q6">
        <v>62.5017</v>
      </c>
      <c r="R6">
        <v>119.2734</v>
      </c>
      <c r="S6">
        <v>813.43409999999994</v>
      </c>
      <c r="T6">
        <v>6.0187999999999997</v>
      </c>
      <c r="U6">
        <v>437</v>
      </c>
      <c r="V6">
        <f t="shared" ref="V6:V66" si="0">+U6/S6</f>
        <v>0.53722852287603884</v>
      </c>
      <c r="W6">
        <v>6.9475066265060246</v>
      </c>
    </row>
    <row r="7" spans="1:23" x14ac:dyDescent="0.35">
      <c r="A7" s="2" t="s">
        <v>85</v>
      </c>
      <c r="B7" s="3" t="s">
        <v>320</v>
      </c>
      <c r="C7" s="3" t="s">
        <v>322</v>
      </c>
      <c r="D7" s="3" t="s">
        <v>316</v>
      </c>
      <c r="E7" s="3" t="s">
        <v>317</v>
      </c>
      <c r="F7">
        <v>5.42</v>
      </c>
      <c r="G7">
        <v>3.66</v>
      </c>
      <c r="H7">
        <v>13215.310127442899</v>
      </c>
      <c r="I7">
        <v>5553.2311788811003</v>
      </c>
      <c r="J7">
        <v>0.84716630765824097</v>
      </c>
      <c r="K7">
        <v>2.5161854934661401</v>
      </c>
      <c r="L7">
        <v>241.80327868852987</v>
      </c>
      <c r="M7">
        <v>98.360655737704761</v>
      </c>
      <c r="N7" s="2">
        <v>-1.246</v>
      </c>
      <c r="O7" s="2">
        <v>-0.54299999999999993</v>
      </c>
      <c r="P7" s="2">
        <v>6.96</v>
      </c>
    </row>
    <row r="8" spans="1:23" x14ac:dyDescent="0.35">
      <c r="A8" s="2" t="s">
        <v>86</v>
      </c>
      <c r="B8" s="3" t="s">
        <v>320</v>
      </c>
      <c r="C8" s="3" t="s">
        <v>322</v>
      </c>
      <c r="D8" s="3" t="s">
        <v>316</v>
      </c>
      <c r="E8" s="3" t="s">
        <v>317</v>
      </c>
      <c r="F8">
        <v>6.24</v>
      </c>
      <c r="G8">
        <v>4.34</v>
      </c>
      <c r="H8">
        <v>13188.6287800806</v>
      </c>
      <c r="I8">
        <v>5474.5414911274202</v>
      </c>
      <c r="J8">
        <v>0.84540791426185702</v>
      </c>
      <c r="K8">
        <v>2.4253762291810599</v>
      </c>
      <c r="L8">
        <v>266.1290322580648</v>
      </c>
      <c r="M8">
        <v>183.17972350230454</v>
      </c>
      <c r="N8" s="2"/>
      <c r="O8" s="2"/>
      <c r="P8" s="2">
        <v>6.64</v>
      </c>
    </row>
    <row r="9" spans="1:23" x14ac:dyDescent="0.35">
      <c r="A9" s="2" t="s">
        <v>87</v>
      </c>
      <c r="B9" s="3" t="s">
        <v>320</v>
      </c>
      <c r="C9" s="3" t="s">
        <v>322</v>
      </c>
      <c r="D9" s="3" t="s">
        <v>316</v>
      </c>
      <c r="E9" s="3" t="s">
        <v>317</v>
      </c>
      <c r="F9">
        <v>6.56</v>
      </c>
      <c r="G9">
        <v>3.86</v>
      </c>
      <c r="H9">
        <v>14682.152198412899</v>
      </c>
      <c r="I9">
        <v>6665.9465318166804</v>
      </c>
      <c r="J9">
        <v>0.84782414405053397</v>
      </c>
      <c r="K9">
        <v>1.9238285172793099</v>
      </c>
      <c r="L9">
        <v>242.22797927461198</v>
      </c>
      <c r="M9">
        <v>93.264248704663075</v>
      </c>
      <c r="N9" s="2">
        <v>-1.123</v>
      </c>
      <c r="O9" s="2">
        <v>-0.51200000000000001</v>
      </c>
    </row>
    <row r="10" spans="1:23" x14ac:dyDescent="0.35">
      <c r="A10" s="2" t="s">
        <v>88</v>
      </c>
      <c r="B10" s="3" t="s">
        <v>320</v>
      </c>
      <c r="C10" s="3" t="s">
        <v>322</v>
      </c>
      <c r="D10" s="3" t="s">
        <v>316</v>
      </c>
      <c r="E10" s="3" t="s">
        <v>317</v>
      </c>
      <c r="F10">
        <v>5.21</v>
      </c>
      <c r="G10">
        <v>3.24</v>
      </c>
      <c r="H10">
        <v>10957.600678204701</v>
      </c>
      <c r="I10">
        <v>4368.1814285762403</v>
      </c>
      <c r="J10">
        <v>0.80517223715800501</v>
      </c>
      <c r="K10">
        <v>2.4736564952345499</v>
      </c>
      <c r="L10">
        <v>265.43209876543631</v>
      </c>
      <c r="M10">
        <v>108.02469135802293</v>
      </c>
      <c r="N10" s="2"/>
      <c r="O10" s="2"/>
    </row>
    <row r="11" spans="1:23" x14ac:dyDescent="0.35">
      <c r="A11" s="2" t="s">
        <v>89</v>
      </c>
      <c r="B11" s="3" t="s">
        <v>320</v>
      </c>
      <c r="C11" s="3" t="s">
        <v>322</v>
      </c>
      <c r="D11" s="3" t="s">
        <v>316</v>
      </c>
      <c r="E11" s="3" t="s">
        <v>317</v>
      </c>
      <c r="F11">
        <v>6.08</v>
      </c>
      <c r="G11">
        <v>4.07</v>
      </c>
      <c r="H11">
        <v>14259.669475504699</v>
      </c>
      <c r="I11">
        <v>5302.1131144909396</v>
      </c>
      <c r="J11">
        <v>0.818161813085999</v>
      </c>
      <c r="K11">
        <v>2.6375971703661301</v>
      </c>
      <c r="L11">
        <v>234.64373464373421</v>
      </c>
      <c r="M11">
        <v>151.10565110565332</v>
      </c>
      <c r="N11" s="2"/>
      <c r="O11" s="2"/>
      <c r="P11" s="2">
        <v>6.44</v>
      </c>
      <c r="Q11">
        <v>79.567400000000006</v>
      </c>
      <c r="R11">
        <v>240.99780000000001</v>
      </c>
      <c r="S11">
        <v>781.20060000000001</v>
      </c>
      <c r="T11">
        <v>7.4931000000000001</v>
      </c>
      <c r="U11">
        <v>633</v>
      </c>
      <c r="V11">
        <f t="shared" si="0"/>
        <v>0.81029123633545597</v>
      </c>
      <c r="W11">
        <v>7.3787850931677017</v>
      </c>
    </row>
    <row r="12" spans="1:23" x14ac:dyDescent="0.35">
      <c r="A12" s="2" t="s">
        <v>226</v>
      </c>
      <c r="B12" s="3" t="s">
        <v>320</v>
      </c>
      <c r="C12" s="3" t="s">
        <v>323</v>
      </c>
      <c r="D12" s="3" t="s">
        <v>316</v>
      </c>
      <c r="E12" s="3" t="s">
        <v>317</v>
      </c>
      <c r="F12">
        <v>5.44</v>
      </c>
      <c r="G12">
        <v>3.36</v>
      </c>
      <c r="H12">
        <v>12914.8812639641</v>
      </c>
      <c r="I12">
        <v>6143.5584914378896</v>
      </c>
      <c r="J12">
        <v>0.78727726535522902</v>
      </c>
      <c r="K12">
        <v>2.85433533464477</v>
      </c>
      <c r="L12">
        <v>183.03571428570854</v>
      </c>
      <c r="M12">
        <v>437.49999999999966</v>
      </c>
      <c r="N12" s="2"/>
      <c r="O12" s="2"/>
      <c r="P12" s="2">
        <v>4.08</v>
      </c>
      <c r="Q12">
        <v>135.75110000000001</v>
      </c>
      <c r="R12">
        <v>100.42502900985515</v>
      </c>
      <c r="S12">
        <v>996.35329999999999</v>
      </c>
      <c r="T12">
        <v>13.998200000000001</v>
      </c>
      <c r="U12">
        <v>574</v>
      </c>
      <c r="V12">
        <f t="shared" si="0"/>
        <v>0.57610086703180485</v>
      </c>
      <c r="W12">
        <v>14.563232352941178</v>
      </c>
    </row>
    <row r="13" spans="1:23" x14ac:dyDescent="0.35">
      <c r="A13" s="2" t="s">
        <v>227</v>
      </c>
      <c r="B13" s="3" t="s">
        <v>320</v>
      </c>
      <c r="C13" s="3" t="s">
        <v>323</v>
      </c>
      <c r="D13" s="3" t="s">
        <v>316</v>
      </c>
      <c r="E13" s="3" t="s">
        <v>317</v>
      </c>
      <c r="F13">
        <v>5.93</v>
      </c>
      <c r="G13">
        <v>3.3</v>
      </c>
      <c r="H13">
        <v>12610.6733210285</v>
      </c>
      <c r="I13">
        <v>4647.1638059239203</v>
      </c>
      <c r="J13">
        <v>0.82341523828612195</v>
      </c>
      <c r="K13">
        <v>2.4354051401774499</v>
      </c>
      <c r="L13">
        <v>236.36363636363672</v>
      </c>
      <c r="M13">
        <v>207.57575757575827</v>
      </c>
      <c r="N13" s="2"/>
      <c r="O13" s="2"/>
    </row>
    <row r="14" spans="1:23" x14ac:dyDescent="0.35">
      <c r="A14" s="2" t="s">
        <v>228</v>
      </c>
      <c r="B14" s="3" t="s">
        <v>320</v>
      </c>
      <c r="C14" s="3" t="s">
        <v>323</v>
      </c>
      <c r="D14" s="3" t="s">
        <v>316</v>
      </c>
      <c r="E14" s="3" t="s">
        <v>317</v>
      </c>
      <c r="F14">
        <v>7.08</v>
      </c>
      <c r="G14">
        <v>5.1100000000000003</v>
      </c>
      <c r="H14">
        <v>17982.862166263702</v>
      </c>
      <c r="I14">
        <v>6292.6576337443403</v>
      </c>
      <c r="J14">
        <v>0.83359591890276996</v>
      </c>
      <c r="K14">
        <v>2.4007152404632701</v>
      </c>
      <c r="L14">
        <v>176.12524461839641</v>
      </c>
      <c r="M14">
        <v>300.39138943248463</v>
      </c>
      <c r="N14" s="2"/>
      <c r="O14" s="2"/>
    </row>
    <row r="15" spans="1:23" x14ac:dyDescent="0.35">
      <c r="A15" s="2" t="s">
        <v>229</v>
      </c>
      <c r="B15" s="3" t="s">
        <v>320</v>
      </c>
      <c r="C15" s="3" t="s">
        <v>323</v>
      </c>
      <c r="D15" s="3" t="s">
        <v>316</v>
      </c>
      <c r="E15" s="3" t="s">
        <v>317</v>
      </c>
      <c r="F15">
        <v>7.27</v>
      </c>
      <c r="G15">
        <v>4.41</v>
      </c>
      <c r="H15">
        <v>18527.299832236</v>
      </c>
      <c r="I15">
        <v>5076.5113963010199</v>
      </c>
      <c r="J15">
        <v>0.83603315225956898</v>
      </c>
      <c r="K15">
        <v>2.10457902074796</v>
      </c>
      <c r="L15">
        <v>234.69387755101963</v>
      </c>
      <c r="M15">
        <v>318.59410430839029</v>
      </c>
      <c r="N15" s="2"/>
      <c r="O15" s="2"/>
    </row>
    <row r="16" spans="1:23" x14ac:dyDescent="0.35">
      <c r="A16" s="2" t="s">
        <v>230</v>
      </c>
      <c r="B16" s="3" t="s">
        <v>320</v>
      </c>
      <c r="C16" s="3" t="s">
        <v>323</v>
      </c>
      <c r="D16" s="3" t="s">
        <v>316</v>
      </c>
      <c r="E16" s="3" t="s">
        <v>317</v>
      </c>
      <c r="F16">
        <v>5.67</v>
      </c>
      <c r="G16">
        <v>3.84</v>
      </c>
      <c r="H16">
        <v>14936.3665411974</v>
      </c>
      <c r="I16">
        <v>7033.0348471244497</v>
      </c>
      <c r="J16">
        <v>0.79191541726388703</v>
      </c>
      <c r="K16">
        <v>3.4136767845296698</v>
      </c>
      <c r="L16">
        <v>242.18750000000179</v>
      </c>
      <c r="M16">
        <v>273.43750000000296</v>
      </c>
      <c r="N16" s="2">
        <v>-0.437</v>
      </c>
      <c r="O16" s="2">
        <v>-0.49199999999999999</v>
      </c>
      <c r="P16" s="2">
        <v>7.28</v>
      </c>
      <c r="Q16">
        <v>170.05199999999999</v>
      </c>
      <c r="R16">
        <v>196.73408130884175</v>
      </c>
      <c r="S16">
        <v>1260.8205</v>
      </c>
      <c r="T16">
        <v>16.2759</v>
      </c>
      <c r="U16">
        <v>892</v>
      </c>
      <c r="V16">
        <f t="shared" si="0"/>
        <v>0.70747580642922603</v>
      </c>
      <c r="W16">
        <v>10.117343406593406</v>
      </c>
    </row>
    <row r="17" spans="1:23" x14ac:dyDescent="0.35">
      <c r="A17" s="2" t="s">
        <v>231</v>
      </c>
      <c r="B17" s="3" t="s">
        <v>320</v>
      </c>
      <c r="C17" s="3" t="s">
        <v>323</v>
      </c>
      <c r="D17" s="3" t="s">
        <v>316</v>
      </c>
      <c r="E17" s="3" t="s">
        <v>317</v>
      </c>
      <c r="F17">
        <v>7.13</v>
      </c>
      <c r="G17">
        <v>4.88</v>
      </c>
      <c r="H17">
        <v>17605.390668859702</v>
      </c>
      <c r="I17">
        <v>6544.5531833345804</v>
      </c>
      <c r="J17">
        <v>0.80052947261187102</v>
      </c>
      <c r="K17">
        <v>2.57797370286344</v>
      </c>
      <c r="L17">
        <v>131.14754098360376</v>
      </c>
      <c r="M17">
        <v>197.74590163934496</v>
      </c>
      <c r="N17" s="2"/>
      <c r="O17" s="2"/>
      <c r="P17" s="2">
        <v>9.92</v>
      </c>
    </row>
    <row r="18" spans="1:23" x14ac:dyDescent="0.35">
      <c r="A18" s="2" t="s">
        <v>232</v>
      </c>
      <c r="B18" s="3" t="s">
        <v>320</v>
      </c>
      <c r="C18" s="3" t="s">
        <v>323</v>
      </c>
      <c r="D18" s="3" t="s">
        <v>316</v>
      </c>
      <c r="E18" s="3" t="s">
        <v>317</v>
      </c>
      <c r="F18">
        <v>6.24</v>
      </c>
      <c r="G18">
        <v>3.67</v>
      </c>
      <c r="H18">
        <v>9351.9172124211509</v>
      </c>
      <c r="I18">
        <v>5436.5098905197501</v>
      </c>
      <c r="J18">
        <v>0.80146574634409995</v>
      </c>
      <c r="K18">
        <v>2.6265795878570302</v>
      </c>
      <c r="L18">
        <v>361.03542234332889</v>
      </c>
      <c r="M18">
        <v>314.713896457766</v>
      </c>
      <c r="N18" s="2">
        <v>-0.38600000000000001</v>
      </c>
      <c r="O18" s="2">
        <v>-0.36599999999999999</v>
      </c>
      <c r="P18" s="2">
        <v>8.64</v>
      </c>
    </row>
    <row r="19" spans="1:23" x14ac:dyDescent="0.35">
      <c r="A19" s="2" t="s">
        <v>233</v>
      </c>
      <c r="B19" s="3" t="s">
        <v>320</v>
      </c>
      <c r="C19" s="3" t="s">
        <v>323</v>
      </c>
      <c r="D19" s="3" t="s">
        <v>316</v>
      </c>
      <c r="E19" s="3" t="s">
        <v>317</v>
      </c>
      <c r="F19">
        <v>5.34</v>
      </c>
      <c r="G19">
        <v>3.92</v>
      </c>
      <c r="H19">
        <v>11784.165308563401</v>
      </c>
      <c r="I19">
        <v>5762.9313027627704</v>
      </c>
      <c r="J19">
        <v>0.69350026227255801</v>
      </c>
      <c r="K19">
        <v>3.72028392528917</v>
      </c>
      <c r="L19">
        <v>234.69387755102449</v>
      </c>
      <c r="M19">
        <v>293.36734693877696</v>
      </c>
      <c r="N19" s="2"/>
      <c r="O19" s="2"/>
      <c r="P19" s="2">
        <v>3.36</v>
      </c>
      <c r="Q19">
        <v>125.5857</v>
      </c>
      <c r="R19">
        <v>182.45278159776365</v>
      </c>
      <c r="S19">
        <v>891.67619999999999</v>
      </c>
      <c r="T19">
        <v>10.5671</v>
      </c>
      <c r="U19">
        <v>560</v>
      </c>
      <c r="V19">
        <f t="shared" si="0"/>
        <v>0.6280306685319178</v>
      </c>
      <c r="W19">
        <v>15.446453571428572</v>
      </c>
    </row>
    <row r="20" spans="1:23" x14ac:dyDescent="0.35">
      <c r="A20" s="2" t="s">
        <v>234</v>
      </c>
      <c r="B20" s="3" t="s">
        <v>320</v>
      </c>
      <c r="C20" s="3" t="s">
        <v>323</v>
      </c>
      <c r="D20" s="3" t="s">
        <v>316</v>
      </c>
      <c r="E20" s="3" t="s">
        <v>317</v>
      </c>
      <c r="F20">
        <v>4.6100000000000003</v>
      </c>
      <c r="G20">
        <v>2.78</v>
      </c>
      <c r="H20">
        <v>9096.3440401874705</v>
      </c>
      <c r="I20">
        <v>4482.6581614922698</v>
      </c>
      <c r="J20">
        <v>0.81174698342013596</v>
      </c>
      <c r="K20">
        <v>2.1744523747664899</v>
      </c>
      <c r="L20">
        <v>302.15827338129623</v>
      </c>
      <c r="M20">
        <v>381.29496402877783</v>
      </c>
      <c r="N20" s="2"/>
      <c r="O20" s="2"/>
    </row>
    <row r="21" spans="1:23" x14ac:dyDescent="0.35">
      <c r="A21" s="2" t="s">
        <v>235</v>
      </c>
      <c r="B21" s="3" t="s">
        <v>320</v>
      </c>
      <c r="C21" s="3" t="s">
        <v>323</v>
      </c>
      <c r="D21" s="3" t="s">
        <v>316</v>
      </c>
      <c r="E21" s="3" t="s">
        <v>317</v>
      </c>
      <c r="F21">
        <v>6.71</v>
      </c>
      <c r="G21">
        <v>4.3499999999999996</v>
      </c>
      <c r="H21">
        <v>17053.083115660898</v>
      </c>
      <c r="I21">
        <v>6085.1766748563896</v>
      </c>
      <c r="J21">
        <v>0.78477707840314104</v>
      </c>
      <c r="K21">
        <v>2.74882731934761</v>
      </c>
      <c r="L21">
        <v>149.42528735632317</v>
      </c>
      <c r="M21">
        <v>251.72413793103425</v>
      </c>
      <c r="N21" s="2">
        <v>-0.47599999999999998</v>
      </c>
      <c r="O21" s="2">
        <v>-0.55300000000000005</v>
      </c>
    </row>
    <row r="22" spans="1:23" x14ac:dyDescent="0.35">
      <c r="A22" s="2" t="s">
        <v>90</v>
      </c>
      <c r="B22" s="3" t="s">
        <v>301</v>
      </c>
      <c r="C22" s="3" t="s">
        <v>322</v>
      </c>
      <c r="D22" s="3" t="s">
        <v>315</v>
      </c>
      <c r="E22" s="3" t="s">
        <v>318</v>
      </c>
      <c r="F22">
        <v>5.8800000000000008</v>
      </c>
      <c r="G22">
        <v>3.68</v>
      </c>
      <c r="H22">
        <v>16116.847714400101</v>
      </c>
      <c r="I22">
        <v>5616.9366148701502</v>
      </c>
      <c r="J22">
        <v>0.84710696885820003</v>
      </c>
      <c r="K22">
        <v>2.3378892064277501</v>
      </c>
      <c r="L22">
        <v>259.51086956522079</v>
      </c>
      <c r="M22">
        <v>158.96739130434611</v>
      </c>
      <c r="N22" s="2">
        <v>-1.119</v>
      </c>
      <c r="O22" s="2">
        <v>-0.52699999999999991</v>
      </c>
    </row>
    <row r="23" spans="1:23" x14ac:dyDescent="0.35">
      <c r="A23" s="2" t="s">
        <v>91</v>
      </c>
      <c r="B23" s="3" t="s">
        <v>301</v>
      </c>
      <c r="C23" s="3" t="s">
        <v>322</v>
      </c>
      <c r="D23" s="3" t="s">
        <v>315</v>
      </c>
      <c r="E23" s="3" t="s">
        <v>318</v>
      </c>
      <c r="F23">
        <v>4.8499999999999996</v>
      </c>
      <c r="G23">
        <v>2.91</v>
      </c>
      <c r="H23">
        <v>14092.900127656399</v>
      </c>
      <c r="I23">
        <v>5328.41219555935</v>
      </c>
      <c r="J23">
        <v>0.83053702627246895</v>
      </c>
      <c r="K23">
        <v>2.2046879742322201</v>
      </c>
      <c r="L23">
        <v>269.75945017182011</v>
      </c>
      <c r="M23">
        <v>89.347079037802445</v>
      </c>
      <c r="N23" s="2"/>
      <c r="O23" s="2"/>
    </row>
    <row r="24" spans="1:23" x14ac:dyDescent="0.35">
      <c r="A24" s="2" t="s">
        <v>92</v>
      </c>
      <c r="B24" s="3" t="s">
        <v>301</v>
      </c>
      <c r="C24" s="3" t="s">
        <v>322</v>
      </c>
      <c r="D24" s="3" t="s">
        <v>315</v>
      </c>
      <c r="E24" s="3" t="s">
        <v>318</v>
      </c>
      <c r="F24">
        <v>7.41</v>
      </c>
      <c r="G24">
        <v>4.47</v>
      </c>
      <c r="H24">
        <v>18180.506022703499</v>
      </c>
      <c r="I24">
        <v>6361.1392228383102</v>
      </c>
      <c r="J24">
        <v>0.80211293495701697</v>
      </c>
      <c r="K24">
        <v>3.2442801385607001</v>
      </c>
      <c r="L24">
        <v>274.04921700223588</v>
      </c>
      <c r="M24">
        <v>181.20805369127251</v>
      </c>
      <c r="N24" s="2"/>
      <c r="O24" s="2"/>
      <c r="P24" s="2">
        <v>7.64</v>
      </c>
      <c r="Q24">
        <v>198.5581</v>
      </c>
      <c r="R24">
        <v>240.51070000000001</v>
      </c>
      <c r="S24">
        <v>1072.5191</v>
      </c>
      <c r="T24">
        <v>16.895499999999998</v>
      </c>
      <c r="U24">
        <v>963</v>
      </c>
      <c r="V24">
        <f t="shared" si="0"/>
        <v>0.89788610757607956</v>
      </c>
      <c r="W24">
        <v>9.5238282722513095</v>
      </c>
    </row>
    <row r="25" spans="1:23" x14ac:dyDescent="0.35">
      <c r="A25" s="2" t="s">
        <v>93</v>
      </c>
      <c r="B25" s="3" t="s">
        <v>301</v>
      </c>
      <c r="C25" s="3" t="s">
        <v>322</v>
      </c>
      <c r="D25" s="3" t="s">
        <v>315</v>
      </c>
      <c r="E25" s="3" t="s">
        <v>318</v>
      </c>
      <c r="F25">
        <v>5.0299999999999994</v>
      </c>
      <c r="G25">
        <v>3.15</v>
      </c>
      <c r="H25">
        <v>12393.4733024489</v>
      </c>
      <c r="I25">
        <v>4132.4719533404204</v>
      </c>
      <c r="J25">
        <v>0.84601057955620496</v>
      </c>
      <c r="K25">
        <v>2.1415370110476202</v>
      </c>
      <c r="L25">
        <v>295.2380952380974</v>
      </c>
      <c r="M25">
        <v>180.95238095238329</v>
      </c>
      <c r="N25" s="2"/>
      <c r="O25" s="2"/>
      <c r="P25" s="2">
        <v>5.48</v>
      </c>
      <c r="Q25">
        <v>143.6917</v>
      </c>
      <c r="R25">
        <v>210.23679999999999</v>
      </c>
      <c r="S25">
        <v>973.38409999999999</v>
      </c>
      <c r="T25">
        <v>12.4564</v>
      </c>
      <c r="U25">
        <v>1030</v>
      </c>
      <c r="V25">
        <f t="shared" si="0"/>
        <v>1.0581639868578088</v>
      </c>
      <c r="W25">
        <v>10.929302189781021</v>
      </c>
    </row>
    <row r="26" spans="1:23" x14ac:dyDescent="0.35">
      <c r="A26" s="2" t="s">
        <v>94</v>
      </c>
      <c r="B26" s="3" t="s">
        <v>301</v>
      </c>
      <c r="C26" s="3" t="s">
        <v>322</v>
      </c>
      <c r="D26" s="3" t="s">
        <v>315</v>
      </c>
      <c r="E26" s="3" t="s">
        <v>318</v>
      </c>
      <c r="F26">
        <v>4.79</v>
      </c>
      <c r="G26">
        <v>2.96</v>
      </c>
      <c r="H26">
        <v>12018.336916972499</v>
      </c>
      <c r="I26">
        <v>4228.13821081683</v>
      </c>
      <c r="J26">
        <v>0.79910199733542198</v>
      </c>
      <c r="K26">
        <v>2.8059939675860899</v>
      </c>
      <c r="L26">
        <v>278.71621621622199</v>
      </c>
      <c r="M26">
        <v>97.972972972975086</v>
      </c>
      <c r="N26" s="2"/>
      <c r="O26" s="2"/>
      <c r="P26" s="2">
        <v>4.76</v>
      </c>
    </row>
    <row r="27" spans="1:23" x14ac:dyDescent="0.35">
      <c r="A27" s="2" t="s">
        <v>95</v>
      </c>
      <c r="B27" s="3" t="s">
        <v>301</v>
      </c>
      <c r="C27" s="3" t="s">
        <v>322</v>
      </c>
      <c r="D27" s="3" t="s">
        <v>315</v>
      </c>
      <c r="E27" s="3" t="s">
        <v>318</v>
      </c>
      <c r="F27">
        <v>4.87</v>
      </c>
      <c r="G27">
        <v>3.11</v>
      </c>
      <c r="H27">
        <v>10926.6873082358</v>
      </c>
      <c r="I27">
        <v>4085.8941373888301</v>
      </c>
      <c r="J27">
        <v>0.84249581780994398</v>
      </c>
      <c r="K27">
        <v>1.9996401273309501</v>
      </c>
      <c r="L27">
        <v>268.4887459807008</v>
      </c>
      <c r="M27">
        <v>110.93247588424401</v>
      </c>
      <c r="N27" s="2">
        <v>-1.1080000000000001</v>
      </c>
      <c r="O27" s="2">
        <v>-0.57699999999999996</v>
      </c>
      <c r="P27" s="2">
        <v>7.16</v>
      </c>
    </row>
    <row r="28" spans="1:23" x14ac:dyDescent="0.35">
      <c r="A28" s="2" t="s">
        <v>96</v>
      </c>
      <c r="B28" s="3" t="s">
        <v>301</v>
      </c>
      <c r="C28" s="3" t="s">
        <v>322</v>
      </c>
      <c r="D28" s="3" t="s">
        <v>315</v>
      </c>
      <c r="E28" s="3" t="s">
        <v>318</v>
      </c>
      <c r="F28">
        <v>3.91</v>
      </c>
      <c r="G28">
        <v>2.25</v>
      </c>
      <c r="H28">
        <v>8128.8355420137996</v>
      </c>
      <c r="I28">
        <v>4796.2418189489199</v>
      </c>
      <c r="J28">
        <v>0.84175101467934998</v>
      </c>
      <c r="K28">
        <v>2.56091721098006</v>
      </c>
      <c r="L28">
        <v>348.88888888888738</v>
      </c>
      <c r="M28">
        <v>104.44444444444419</v>
      </c>
      <c r="N28" s="2"/>
      <c r="O28" s="2"/>
    </row>
    <row r="29" spans="1:23" x14ac:dyDescent="0.35">
      <c r="A29" s="2" t="s">
        <v>97</v>
      </c>
      <c r="B29" s="3" t="s">
        <v>301</v>
      </c>
      <c r="C29" s="3" t="s">
        <v>322</v>
      </c>
      <c r="D29" s="3" t="s">
        <v>315</v>
      </c>
      <c r="E29" s="3" t="s">
        <v>318</v>
      </c>
      <c r="F29">
        <v>7.59</v>
      </c>
      <c r="G29">
        <v>5.04</v>
      </c>
      <c r="H29">
        <v>13706.8644645862</v>
      </c>
      <c r="I29">
        <v>5972.2398851738699</v>
      </c>
      <c r="J29">
        <v>0.70003975378210903</v>
      </c>
      <c r="K29">
        <v>3.66277115310475</v>
      </c>
      <c r="L29">
        <v>263.88888888888573</v>
      </c>
      <c r="M29">
        <v>165.67460317460194</v>
      </c>
      <c r="N29" s="2"/>
      <c r="O29" s="2"/>
    </row>
    <row r="30" spans="1:23" x14ac:dyDescent="0.35">
      <c r="A30" s="2" t="s">
        <v>98</v>
      </c>
      <c r="B30" s="3" t="s">
        <v>301</v>
      </c>
      <c r="C30" s="3" t="s">
        <v>322</v>
      </c>
      <c r="D30" s="3" t="s">
        <v>315</v>
      </c>
      <c r="E30" s="3" t="s">
        <v>318</v>
      </c>
      <c r="F30">
        <v>6</v>
      </c>
      <c r="G30">
        <v>3.94</v>
      </c>
      <c r="H30">
        <v>13694.5501867768</v>
      </c>
      <c r="I30">
        <v>4738.9619031760403</v>
      </c>
      <c r="J30">
        <v>0.83637734540486197</v>
      </c>
      <c r="K30">
        <v>2.1104944096459</v>
      </c>
      <c r="L30">
        <v>271.57360406091556</v>
      </c>
      <c r="M30">
        <v>175.12690355329892</v>
      </c>
      <c r="N30" s="2">
        <v>-1.0760000000000001</v>
      </c>
      <c r="O30" s="2">
        <v>-0.49299999999999999</v>
      </c>
      <c r="P30" s="2">
        <v>5.12</v>
      </c>
      <c r="Q30">
        <v>142.58279999999999</v>
      </c>
      <c r="R30">
        <v>189.9109</v>
      </c>
      <c r="S30">
        <v>990.35230000000001</v>
      </c>
      <c r="T30">
        <v>12.4101</v>
      </c>
      <c r="U30">
        <v>522</v>
      </c>
      <c r="V30">
        <f t="shared" si="0"/>
        <v>0.52708515949324297</v>
      </c>
      <c r="W30">
        <v>12.393653906249998</v>
      </c>
    </row>
    <row r="31" spans="1:23" x14ac:dyDescent="0.35">
      <c r="A31" s="2" t="s">
        <v>99</v>
      </c>
      <c r="B31" s="3" t="s">
        <v>301</v>
      </c>
      <c r="C31" s="3" t="s">
        <v>322</v>
      </c>
      <c r="D31" s="3" t="s">
        <v>315</v>
      </c>
      <c r="E31" s="3" t="s">
        <v>318</v>
      </c>
      <c r="F31">
        <v>4.93</v>
      </c>
      <c r="G31">
        <v>3.23</v>
      </c>
      <c r="H31">
        <v>9610.1075924514298</v>
      </c>
      <c r="I31">
        <v>5968.2426565431897</v>
      </c>
      <c r="J31">
        <v>0.63763858507341997</v>
      </c>
      <c r="K31">
        <v>4.1121347961169299</v>
      </c>
      <c r="L31">
        <v>291.0216718266247</v>
      </c>
      <c r="M31">
        <v>179.56656346749614</v>
      </c>
      <c r="N31" s="2"/>
      <c r="O31" s="2"/>
    </row>
    <row r="32" spans="1:23" x14ac:dyDescent="0.35">
      <c r="A32" s="2" t="s">
        <v>236</v>
      </c>
      <c r="B32" s="3" t="s">
        <v>301</v>
      </c>
      <c r="C32" s="3" t="s">
        <v>323</v>
      </c>
      <c r="D32" s="3" t="s">
        <v>315</v>
      </c>
      <c r="E32" s="3" t="s">
        <v>318</v>
      </c>
      <c r="F32">
        <v>7.59</v>
      </c>
      <c r="G32">
        <v>5.58</v>
      </c>
      <c r="H32">
        <v>13578.0466530587</v>
      </c>
      <c r="I32">
        <v>6009.6792200297105</v>
      </c>
      <c r="J32">
        <v>0.74315523436856301</v>
      </c>
      <c r="K32">
        <v>2.7757192816219201</v>
      </c>
      <c r="L32">
        <v>125.44802867383564</v>
      </c>
      <c r="M32">
        <v>228.49462365591501</v>
      </c>
      <c r="N32" s="2">
        <v>-0.36699999999999999</v>
      </c>
      <c r="O32" s="2">
        <v>-0.621</v>
      </c>
    </row>
    <row r="33" spans="1:23" x14ac:dyDescent="0.35">
      <c r="A33" s="2" t="s">
        <v>237</v>
      </c>
      <c r="B33" s="3" t="s">
        <v>301</v>
      </c>
      <c r="C33" s="3" t="s">
        <v>323</v>
      </c>
      <c r="D33" s="3" t="s">
        <v>315</v>
      </c>
      <c r="E33" s="3" t="s">
        <v>318</v>
      </c>
      <c r="F33">
        <v>5.36</v>
      </c>
      <c r="G33">
        <v>3.37</v>
      </c>
      <c r="H33">
        <v>14256.3856376692</v>
      </c>
      <c r="I33">
        <v>5718.4002461297496</v>
      </c>
      <c r="J33">
        <v>0.83797088984351198</v>
      </c>
      <c r="K33">
        <v>2.67491724334239</v>
      </c>
      <c r="L33">
        <v>227.00296735905482</v>
      </c>
      <c r="M33">
        <v>310.08902077150964</v>
      </c>
      <c r="N33" s="2"/>
      <c r="O33" s="2"/>
      <c r="P33" s="2">
        <v>4.88</v>
      </c>
      <c r="Q33">
        <v>130.09180000000001</v>
      </c>
      <c r="R33">
        <v>132.3345150584627</v>
      </c>
      <c r="S33">
        <v>994.45979999999997</v>
      </c>
      <c r="T33">
        <v>13.0358</v>
      </c>
      <c r="U33">
        <v>634</v>
      </c>
      <c r="V33">
        <f t="shared" si="0"/>
        <v>0.63753205509161859</v>
      </c>
      <c r="W33">
        <v>11.831400000000002</v>
      </c>
    </row>
    <row r="34" spans="1:23" x14ac:dyDescent="0.35">
      <c r="A34" s="2" t="s">
        <v>238</v>
      </c>
      <c r="B34" s="3" t="s">
        <v>301</v>
      </c>
      <c r="C34" s="3" t="s">
        <v>323</v>
      </c>
      <c r="D34" s="3" t="s">
        <v>315</v>
      </c>
      <c r="E34" s="3" t="s">
        <v>318</v>
      </c>
      <c r="F34">
        <v>6.06</v>
      </c>
      <c r="G34">
        <v>4.09</v>
      </c>
      <c r="H34">
        <v>15860.5638684315</v>
      </c>
      <c r="I34">
        <v>8054.3509910234097</v>
      </c>
      <c r="J34">
        <v>0.82312290290858103</v>
      </c>
      <c r="K34">
        <v>2.3403867145992798</v>
      </c>
      <c r="L34">
        <v>202.93398533006948</v>
      </c>
      <c r="M34">
        <v>312.95843520782427</v>
      </c>
      <c r="N34" s="2">
        <v>-0.33700000000000002</v>
      </c>
      <c r="O34" s="2">
        <v>-0.59299999999999997</v>
      </c>
      <c r="P34" s="2">
        <v>6.36</v>
      </c>
      <c r="Q34">
        <v>76.319900000000004</v>
      </c>
      <c r="R34">
        <v>101.59805835222461</v>
      </c>
      <c r="S34">
        <v>829.11019999999996</v>
      </c>
      <c r="T34">
        <v>7.4836</v>
      </c>
      <c r="U34">
        <v>510</v>
      </c>
      <c r="V34">
        <f t="shared" si="0"/>
        <v>0.61511726667938715</v>
      </c>
      <c r="W34">
        <v>7.3231584905660378</v>
      </c>
    </row>
    <row r="35" spans="1:23" x14ac:dyDescent="0.35">
      <c r="A35" s="2" t="s">
        <v>239</v>
      </c>
      <c r="B35" s="3" t="s">
        <v>301</v>
      </c>
      <c r="C35" s="3" t="s">
        <v>323</v>
      </c>
      <c r="D35" s="3" t="s">
        <v>315</v>
      </c>
      <c r="E35" s="3" t="s">
        <v>318</v>
      </c>
      <c r="F35">
        <v>5.08</v>
      </c>
      <c r="G35">
        <v>3.31</v>
      </c>
      <c r="H35">
        <v>11682.634440278</v>
      </c>
      <c r="I35">
        <v>5352.0933519296404</v>
      </c>
      <c r="J35">
        <v>0.84057697927847996</v>
      </c>
      <c r="K35">
        <v>2.1450141841421302</v>
      </c>
      <c r="L35">
        <v>172.20543806646319</v>
      </c>
      <c r="M35">
        <v>329.30513595166263</v>
      </c>
      <c r="N35" s="2"/>
      <c r="O35" s="2"/>
    </row>
    <row r="36" spans="1:23" x14ac:dyDescent="0.35">
      <c r="A36" s="2" t="s">
        <v>240</v>
      </c>
      <c r="B36" s="3" t="s">
        <v>301</v>
      </c>
      <c r="C36" s="3" t="s">
        <v>323</v>
      </c>
      <c r="D36" s="3" t="s">
        <v>315</v>
      </c>
      <c r="E36" s="3" t="s">
        <v>318</v>
      </c>
      <c r="F36">
        <v>6.4</v>
      </c>
      <c r="G36">
        <v>3.81</v>
      </c>
      <c r="H36">
        <v>14291.510222967399</v>
      </c>
      <c r="I36">
        <v>6947.58155373928</v>
      </c>
      <c r="J36">
        <v>0.76877365610525705</v>
      </c>
      <c r="K36">
        <v>3.1179143352253398</v>
      </c>
      <c r="L36">
        <v>293.96325459317706</v>
      </c>
      <c r="M36">
        <v>254.59317585301807</v>
      </c>
      <c r="N36" s="2"/>
      <c r="O36" s="2"/>
    </row>
    <row r="37" spans="1:23" x14ac:dyDescent="0.35">
      <c r="A37" s="2" t="s">
        <v>241</v>
      </c>
      <c r="B37" s="3" t="s">
        <v>301</v>
      </c>
      <c r="C37" s="3" t="s">
        <v>323</v>
      </c>
      <c r="D37" s="3" t="s">
        <v>315</v>
      </c>
      <c r="E37" s="3" t="s">
        <v>318</v>
      </c>
      <c r="F37">
        <v>5.25</v>
      </c>
      <c r="G37">
        <v>3.52</v>
      </c>
      <c r="H37">
        <v>16288.513266063899</v>
      </c>
      <c r="I37">
        <v>5677.5943912210596</v>
      </c>
      <c r="J37">
        <v>0.837277616396918</v>
      </c>
      <c r="K37">
        <v>2.3834163848160901</v>
      </c>
      <c r="L37">
        <v>269.88636363636846</v>
      </c>
      <c r="M37">
        <v>295.45454545454317</v>
      </c>
      <c r="N37" s="2"/>
      <c r="O37" s="2"/>
      <c r="P37" s="2">
        <v>4.96</v>
      </c>
    </row>
    <row r="38" spans="1:23" x14ac:dyDescent="0.35">
      <c r="A38" s="2" t="s">
        <v>242</v>
      </c>
      <c r="B38" s="3" t="s">
        <v>301</v>
      </c>
      <c r="C38" s="3" t="s">
        <v>323</v>
      </c>
      <c r="D38" s="3" t="s">
        <v>315</v>
      </c>
      <c r="E38" s="3" t="s">
        <v>318</v>
      </c>
      <c r="F38">
        <v>6.01</v>
      </c>
      <c r="G38">
        <v>4.12</v>
      </c>
      <c r="H38">
        <v>13525.1089224343</v>
      </c>
      <c r="I38">
        <v>5876.71521358673</v>
      </c>
      <c r="J38">
        <v>0.81036425436029302</v>
      </c>
      <c r="K38">
        <v>2.8336443202279802</v>
      </c>
      <c r="L38">
        <v>207.52427184466461</v>
      </c>
      <c r="M38">
        <v>280.33980582524299</v>
      </c>
      <c r="N38" s="2"/>
      <c r="O38" s="2"/>
    </row>
    <row r="39" spans="1:23" x14ac:dyDescent="0.35">
      <c r="A39" s="2" t="s">
        <v>243</v>
      </c>
      <c r="B39" s="3" t="s">
        <v>301</v>
      </c>
      <c r="C39" s="3" t="s">
        <v>323</v>
      </c>
      <c r="D39" s="3" t="s">
        <v>315</v>
      </c>
      <c r="E39" s="3" t="s">
        <v>318</v>
      </c>
      <c r="F39">
        <v>5.74</v>
      </c>
      <c r="G39">
        <v>4.1100000000000003</v>
      </c>
      <c r="H39">
        <v>11903.459210622899</v>
      </c>
      <c r="I39">
        <v>4934.67486822306</v>
      </c>
      <c r="J39">
        <v>0.80406673281135899</v>
      </c>
      <c r="K39">
        <v>2.6286197136979399</v>
      </c>
      <c r="L39">
        <v>229.92700729926838</v>
      </c>
      <c r="M39">
        <v>363.74695863747064</v>
      </c>
      <c r="N39" s="2">
        <v>-0.29599999999999999</v>
      </c>
      <c r="O39" s="2">
        <v>-0.57400000000000007</v>
      </c>
      <c r="P39" s="2">
        <v>4.3600000000000003</v>
      </c>
    </row>
    <row r="40" spans="1:23" x14ac:dyDescent="0.35">
      <c r="A40" s="2" t="s">
        <v>244</v>
      </c>
      <c r="B40" s="3" t="s">
        <v>301</v>
      </c>
      <c r="C40" s="3" t="s">
        <v>323</v>
      </c>
      <c r="D40" s="3" t="s">
        <v>315</v>
      </c>
      <c r="E40" s="3" t="s">
        <v>318</v>
      </c>
      <c r="F40">
        <v>6.6</v>
      </c>
      <c r="G40">
        <v>3.81</v>
      </c>
      <c r="H40">
        <v>14938.801110627201</v>
      </c>
      <c r="I40">
        <v>4997.7616641143904</v>
      </c>
      <c r="J40">
        <v>0.84990584574217198</v>
      </c>
      <c r="K40">
        <v>2.0924740544157898</v>
      </c>
      <c r="L40">
        <v>173.22834645669201</v>
      </c>
      <c r="M40">
        <v>376.64041994750716</v>
      </c>
      <c r="N40" s="2"/>
      <c r="O40" s="2"/>
      <c r="P40" s="2">
        <v>7.04</v>
      </c>
      <c r="Q40">
        <v>113.517</v>
      </c>
      <c r="R40">
        <v>157.02351867095578</v>
      </c>
      <c r="S40">
        <v>991.5299</v>
      </c>
      <c r="T40">
        <v>13.019299999999999</v>
      </c>
      <c r="U40">
        <v>510</v>
      </c>
      <c r="V40">
        <f t="shared" si="0"/>
        <v>0.51435665228048089</v>
      </c>
      <c r="W40">
        <v>8.7234119318181822</v>
      </c>
    </row>
    <row r="41" spans="1:23" x14ac:dyDescent="0.35">
      <c r="A41" s="2" t="s">
        <v>245</v>
      </c>
      <c r="B41" s="3" t="s">
        <v>301</v>
      </c>
      <c r="C41" s="3" t="s">
        <v>323</v>
      </c>
      <c r="D41" s="3" t="s">
        <v>315</v>
      </c>
      <c r="E41" s="3" t="s">
        <v>318</v>
      </c>
      <c r="F41">
        <v>5.31</v>
      </c>
      <c r="G41">
        <v>2.98</v>
      </c>
      <c r="H41">
        <v>10692.345846145599</v>
      </c>
      <c r="I41">
        <v>4331.8238564251697</v>
      </c>
      <c r="J41">
        <v>0.84443145843540302</v>
      </c>
      <c r="K41">
        <v>2.6258347447807</v>
      </c>
      <c r="L41">
        <v>238.25503355704012</v>
      </c>
      <c r="M41">
        <v>325.50335570469758</v>
      </c>
      <c r="N41" s="2"/>
      <c r="O41" s="2"/>
    </row>
    <row r="42" spans="1:23" x14ac:dyDescent="0.35">
      <c r="A42" s="2" t="s">
        <v>100</v>
      </c>
      <c r="B42" s="3" t="s">
        <v>302</v>
      </c>
      <c r="C42" s="3" t="s">
        <v>322</v>
      </c>
      <c r="D42" s="3" t="s">
        <v>314</v>
      </c>
      <c r="E42" s="3" t="s">
        <v>318</v>
      </c>
      <c r="F42">
        <v>5.72</v>
      </c>
      <c r="G42">
        <v>3.79</v>
      </c>
      <c r="H42">
        <v>16166.8998432193</v>
      </c>
      <c r="I42">
        <v>6675.3659838426101</v>
      </c>
      <c r="J42">
        <v>0.84426078446490904</v>
      </c>
      <c r="K42">
        <v>2.2493540938026801</v>
      </c>
      <c r="L42">
        <v>200.52770448548571</v>
      </c>
      <c r="M42">
        <v>56.728232189974513</v>
      </c>
      <c r="N42" s="2">
        <v>-1.3130000000000002</v>
      </c>
      <c r="O42" s="2">
        <v>-0.61299999999999999</v>
      </c>
      <c r="P42" s="2">
        <v>2.48</v>
      </c>
      <c r="Q42">
        <v>74.524600000000007</v>
      </c>
      <c r="R42">
        <v>91.802800000000005</v>
      </c>
      <c r="S42">
        <v>968.21450000000004</v>
      </c>
      <c r="T42">
        <v>7.9287999999999998</v>
      </c>
      <c r="U42">
        <v>398</v>
      </c>
      <c r="V42">
        <f t="shared" si="0"/>
        <v>0.41106593631886323</v>
      </c>
      <c r="W42">
        <v>20.29916129032258</v>
      </c>
    </row>
    <row r="43" spans="1:23" x14ac:dyDescent="0.35">
      <c r="A43" s="2" t="s">
        <v>101</v>
      </c>
      <c r="B43" s="3" t="s">
        <v>302</v>
      </c>
      <c r="C43" s="3" t="s">
        <v>322</v>
      </c>
      <c r="D43" s="3" t="s">
        <v>314</v>
      </c>
      <c r="E43" s="3" t="s">
        <v>318</v>
      </c>
      <c r="F43">
        <v>4.9800000000000004</v>
      </c>
      <c r="G43">
        <v>2.94</v>
      </c>
      <c r="H43">
        <v>11538.0473245803</v>
      </c>
      <c r="I43">
        <v>6449.8203012621898</v>
      </c>
      <c r="J43">
        <v>0.84946726425179397</v>
      </c>
      <c r="K43">
        <v>2.25369609920706</v>
      </c>
      <c r="L43">
        <v>243.19727891155611</v>
      </c>
      <c r="M43">
        <v>34.013605442179774</v>
      </c>
      <c r="N43" s="2"/>
      <c r="O43" s="2"/>
      <c r="P43" s="2">
        <v>5.84</v>
      </c>
      <c r="Q43">
        <v>98.582800000000006</v>
      </c>
      <c r="R43">
        <v>57.412199999999999</v>
      </c>
      <c r="S43">
        <v>968.5634</v>
      </c>
      <c r="T43">
        <v>9.9483999999999995</v>
      </c>
      <c r="U43">
        <v>506</v>
      </c>
      <c r="V43">
        <f t="shared" si="0"/>
        <v>0.52242320946672149</v>
      </c>
      <c r="W43">
        <v>8.7162493150684934</v>
      </c>
    </row>
    <row r="44" spans="1:23" x14ac:dyDescent="0.35">
      <c r="A44" s="2" t="s">
        <v>102</v>
      </c>
      <c r="B44" s="3" t="s">
        <v>302</v>
      </c>
      <c r="C44" s="3" t="s">
        <v>322</v>
      </c>
      <c r="D44" s="3" t="s">
        <v>314</v>
      </c>
      <c r="E44" s="3" t="s">
        <v>318</v>
      </c>
      <c r="F44">
        <v>4.88</v>
      </c>
      <c r="G44">
        <v>2.78</v>
      </c>
      <c r="H44">
        <v>11322.6395206487</v>
      </c>
      <c r="I44">
        <v>4701.3505160361501</v>
      </c>
      <c r="J44">
        <v>0.86362812519073495</v>
      </c>
      <c r="K44">
        <v>2.1956582708393202</v>
      </c>
      <c r="L44">
        <v>232.01438848921234</v>
      </c>
      <c r="M44">
        <v>19.784172661870404</v>
      </c>
      <c r="N44" s="2"/>
      <c r="O44" s="2"/>
      <c r="P44" s="2">
        <v>6</v>
      </c>
    </row>
    <row r="45" spans="1:23" x14ac:dyDescent="0.35">
      <c r="A45" s="2" t="s">
        <v>103</v>
      </c>
      <c r="B45" s="3" t="s">
        <v>302</v>
      </c>
      <c r="C45" s="3" t="s">
        <v>322</v>
      </c>
      <c r="D45" s="3" t="s">
        <v>314</v>
      </c>
      <c r="E45" s="3" t="s">
        <v>318</v>
      </c>
      <c r="F45">
        <v>8.1999999999999993</v>
      </c>
      <c r="G45">
        <v>5.16</v>
      </c>
      <c r="H45">
        <v>18220.725131879099</v>
      </c>
      <c r="I45">
        <v>6314.8447497407897</v>
      </c>
      <c r="J45">
        <v>0.83154842301196596</v>
      </c>
      <c r="K45">
        <v>2.1802632700951601</v>
      </c>
      <c r="L45">
        <v>207.36434108526998</v>
      </c>
      <c r="M45">
        <v>110.46511627906844</v>
      </c>
      <c r="N45" s="2">
        <v>-0.93200000000000005</v>
      </c>
      <c r="O45" s="2">
        <v>-0.56600000000000006</v>
      </c>
      <c r="P45" s="2">
        <v>5.92</v>
      </c>
    </row>
    <row r="46" spans="1:23" x14ac:dyDescent="0.35">
      <c r="A46" s="2" t="s">
        <v>104</v>
      </c>
      <c r="B46" s="3" t="s">
        <v>302</v>
      </c>
      <c r="C46" s="3" t="s">
        <v>322</v>
      </c>
      <c r="D46" s="3" t="s">
        <v>314</v>
      </c>
      <c r="E46" s="3" t="s">
        <v>318</v>
      </c>
      <c r="F46">
        <v>4.8499999999999996</v>
      </c>
      <c r="G46">
        <v>3.34</v>
      </c>
      <c r="H46">
        <v>12526.4825130729</v>
      </c>
      <c r="I46">
        <v>7309.9530586975397</v>
      </c>
      <c r="J46">
        <v>0.81719637169634596</v>
      </c>
      <c r="K46">
        <v>3.1390211195778499</v>
      </c>
      <c r="L46">
        <v>218.56287425149395</v>
      </c>
      <c r="M46">
        <v>43.413173652693423</v>
      </c>
      <c r="N46" s="2"/>
      <c r="O46" s="2"/>
      <c r="P46" s="2">
        <v>3.16</v>
      </c>
    </row>
    <row r="47" spans="1:23" x14ac:dyDescent="0.35">
      <c r="A47" s="2" t="s">
        <v>105</v>
      </c>
      <c r="B47" s="3" t="s">
        <v>302</v>
      </c>
      <c r="C47" s="3" t="s">
        <v>322</v>
      </c>
      <c r="D47" s="3" t="s">
        <v>314</v>
      </c>
      <c r="E47" s="3" t="s">
        <v>318</v>
      </c>
      <c r="F47">
        <v>5.6</v>
      </c>
      <c r="G47">
        <v>4.0199999999999996</v>
      </c>
      <c r="H47">
        <v>14837.794788237999</v>
      </c>
      <c r="I47">
        <v>6570.5614463936699</v>
      </c>
      <c r="J47">
        <v>0.83304208767895305</v>
      </c>
      <c r="K47">
        <v>2.7915119907999602</v>
      </c>
      <c r="L47">
        <v>190.2985074626832</v>
      </c>
      <c r="M47">
        <v>67.164179104476631</v>
      </c>
      <c r="N47" s="2"/>
      <c r="O47" s="2"/>
      <c r="P47" s="2">
        <v>2.56</v>
      </c>
    </row>
    <row r="48" spans="1:23" x14ac:dyDescent="0.35">
      <c r="A48" s="2" t="s">
        <v>106</v>
      </c>
      <c r="B48" s="3" t="s">
        <v>302</v>
      </c>
      <c r="C48" s="3" t="s">
        <v>322</v>
      </c>
      <c r="D48" s="3" t="s">
        <v>314</v>
      </c>
      <c r="E48" s="3" t="s">
        <v>318</v>
      </c>
      <c r="F48">
        <v>7.18</v>
      </c>
      <c r="G48">
        <v>4.99</v>
      </c>
      <c r="H48">
        <v>12771.7136887407</v>
      </c>
      <c r="I48">
        <v>5438.8184773019302</v>
      </c>
      <c r="J48">
        <v>0.84483880602129002</v>
      </c>
      <c r="K48">
        <v>2.2321305771607598</v>
      </c>
      <c r="L48">
        <v>200.40080160320642</v>
      </c>
      <c r="M48">
        <v>103.20641282565141</v>
      </c>
      <c r="N48" s="2"/>
      <c r="O48" s="2"/>
      <c r="P48" s="2">
        <v>6.48</v>
      </c>
    </row>
    <row r="49" spans="1:23" x14ac:dyDescent="0.35">
      <c r="A49" s="2" t="s">
        <v>107</v>
      </c>
      <c r="B49" s="3" t="s">
        <v>302</v>
      </c>
      <c r="C49" s="3" t="s">
        <v>322</v>
      </c>
      <c r="D49" s="3" t="s">
        <v>314</v>
      </c>
      <c r="E49" s="3" t="s">
        <v>318</v>
      </c>
      <c r="F49">
        <v>6.7</v>
      </c>
      <c r="G49">
        <v>4.1100000000000003</v>
      </c>
      <c r="H49">
        <v>15558.7510870759</v>
      </c>
      <c r="I49">
        <v>4799.8793341248202</v>
      </c>
      <c r="J49">
        <v>0.82259569487128803</v>
      </c>
      <c r="K49">
        <v>1.96312130603157</v>
      </c>
      <c r="L49">
        <v>190.99756690997484</v>
      </c>
      <c r="M49">
        <v>68.126520681265475</v>
      </c>
      <c r="N49" s="2">
        <v>-1.387</v>
      </c>
      <c r="O49" s="2">
        <v>-0.63200000000000001</v>
      </c>
      <c r="P49" s="2">
        <v>6.52</v>
      </c>
    </row>
    <row r="50" spans="1:23" x14ac:dyDescent="0.35">
      <c r="A50" s="2" t="s">
        <v>108</v>
      </c>
      <c r="B50" s="3" t="s">
        <v>302</v>
      </c>
      <c r="C50" s="3" t="s">
        <v>322</v>
      </c>
      <c r="D50" s="3" t="s">
        <v>314</v>
      </c>
      <c r="E50" s="3" t="s">
        <v>318</v>
      </c>
      <c r="F50">
        <v>7.26</v>
      </c>
      <c r="G50">
        <v>4.57</v>
      </c>
      <c r="H50">
        <v>15851.651411008999</v>
      </c>
      <c r="I50">
        <v>6281.4507948615301</v>
      </c>
      <c r="J50">
        <v>0.81091319011408602</v>
      </c>
      <c r="K50">
        <v>2.73341319664239</v>
      </c>
      <c r="L50">
        <v>182.71334792122713</v>
      </c>
      <c r="M50">
        <v>71.115973741794932</v>
      </c>
      <c r="N50" s="2"/>
      <c r="O50" s="2"/>
      <c r="P50" s="2">
        <v>6.24</v>
      </c>
    </row>
    <row r="51" spans="1:23" x14ac:dyDescent="0.35">
      <c r="A51" s="2" t="s">
        <v>109</v>
      </c>
      <c r="B51" s="3" t="s">
        <v>302</v>
      </c>
      <c r="C51" s="3" t="s">
        <v>322</v>
      </c>
      <c r="D51" s="3" t="s">
        <v>314</v>
      </c>
      <c r="E51" s="3" t="s">
        <v>318</v>
      </c>
      <c r="F51">
        <v>6.43</v>
      </c>
      <c r="G51">
        <v>4.22</v>
      </c>
      <c r="H51">
        <v>12456.3329427589</v>
      </c>
      <c r="I51">
        <v>5293.1125215705297</v>
      </c>
      <c r="J51">
        <v>0.79933724989049604</v>
      </c>
      <c r="K51">
        <v>2.65332552475616</v>
      </c>
      <c r="L51">
        <v>196.68246445497928</v>
      </c>
      <c r="M51">
        <v>75.829383886254305</v>
      </c>
      <c r="N51" s="2"/>
      <c r="O51" s="2"/>
      <c r="P51" s="2">
        <v>5.4</v>
      </c>
      <c r="Q51">
        <v>104.39449999999999</v>
      </c>
      <c r="R51">
        <v>187.3237</v>
      </c>
      <c r="S51">
        <v>768.02359999999999</v>
      </c>
      <c r="T51">
        <v>10.4802</v>
      </c>
      <c r="U51">
        <v>649</v>
      </c>
      <c r="V51">
        <f t="shared" si="0"/>
        <v>0.84502611638496528</v>
      </c>
      <c r="W51">
        <v>9.7364266666666666</v>
      </c>
    </row>
    <row r="52" spans="1:23" x14ac:dyDescent="0.35">
      <c r="A52" s="2" t="s">
        <v>246</v>
      </c>
      <c r="B52" s="3" t="s">
        <v>302</v>
      </c>
      <c r="C52" s="3" t="s">
        <v>323</v>
      </c>
      <c r="D52" s="3" t="s">
        <v>314</v>
      </c>
      <c r="E52" s="3" t="s">
        <v>318</v>
      </c>
      <c r="F52">
        <v>4.9800000000000004</v>
      </c>
      <c r="G52">
        <v>3.17</v>
      </c>
      <c r="H52">
        <v>11371.5340991618</v>
      </c>
      <c r="I52">
        <v>5508.7710680529399</v>
      </c>
      <c r="J52">
        <v>0.84871756552859801</v>
      </c>
      <c r="K52">
        <v>2.5694947699492201</v>
      </c>
      <c r="L52">
        <v>247.63406940062984</v>
      </c>
      <c r="M52">
        <v>194.00630914826337</v>
      </c>
      <c r="N52" s="2"/>
      <c r="O52" s="2"/>
    </row>
    <row r="53" spans="1:23" x14ac:dyDescent="0.35">
      <c r="A53" s="2" t="s">
        <v>247</v>
      </c>
      <c r="B53" s="3" t="s">
        <v>302</v>
      </c>
      <c r="C53" s="3" t="s">
        <v>323</v>
      </c>
      <c r="D53" s="3" t="s">
        <v>314</v>
      </c>
      <c r="E53" s="3" t="s">
        <v>318</v>
      </c>
      <c r="F53">
        <v>5.07</v>
      </c>
      <c r="G53">
        <v>3.45</v>
      </c>
      <c r="H53">
        <v>12401.5834395356</v>
      </c>
      <c r="I53">
        <v>5671.6205044436101</v>
      </c>
      <c r="J53">
        <v>0.81957920975462295</v>
      </c>
      <c r="K53">
        <v>2.4323980125575901</v>
      </c>
      <c r="L53">
        <v>330.43478260869574</v>
      </c>
      <c r="M53">
        <v>310.14492753622989</v>
      </c>
      <c r="N53" s="2"/>
      <c r="O53" s="2"/>
    </row>
    <row r="54" spans="1:23" x14ac:dyDescent="0.35">
      <c r="A54" s="2" t="s">
        <v>248</v>
      </c>
      <c r="B54" s="3" t="s">
        <v>302</v>
      </c>
      <c r="C54" s="3" t="s">
        <v>323</v>
      </c>
      <c r="D54" s="3" t="s">
        <v>314</v>
      </c>
      <c r="E54" s="3" t="s">
        <v>318</v>
      </c>
      <c r="F54">
        <v>4.7300000000000004</v>
      </c>
      <c r="G54">
        <v>3.39</v>
      </c>
      <c r="H54">
        <v>11604.0637886531</v>
      </c>
      <c r="I54">
        <v>5123.0909102414198</v>
      </c>
      <c r="J54">
        <v>0.84620366582189599</v>
      </c>
      <c r="K54">
        <v>2.42434605263978</v>
      </c>
      <c r="L54">
        <v>243.36283185840372</v>
      </c>
      <c r="M54">
        <v>321.53392330383582</v>
      </c>
      <c r="N54" s="2"/>
      <c r="O54" s="2"/>
    </row>
    <row r="55" spans="1:23" x14ac:dyDescent="0.35">
      <c r="A55" s="2" t="s">
        <v>249</v>
      </c>
      <c r="B55" s="3" t="s">
        <v>302</v>
      </c>
      <c r="C55" s="3" t="s">
        <v>323</v>
      </c>
      <c r="D55" s="3" t="s">
        <v>314</v>
      </c>
      <c r="E55" s="3" t="s">
        <v>318</v>
      </c>
      <c r="F55">
        <v>5.79</v>
      </c>
      <c r="G55">
        <v>3.88</v>
      </c>
      <c r="H55">
        <v>14902.961983904999</v>
      </c>
      <c r="I55">
        <v>5271.5365620160201</v>
      </c>
      <c r="J55">
        <v>0.84737113460195701</v>
      </c>
      <c r="K55">
        <v>2.0569800450888098</v>
      </c>
      <c r="L55">
        <v>181.70103092783094</v>
      </c>
      <c r="M55">
        <v>283.50515463917378</v>
      </c>
      <c r="N55" s="2">
        <v>-0.41500000000000004</v>
      </c>
      <c r="O55" s="2">
        <v>-0.51100000000000001</v>
      </c>
      <c r="P55" s="2">
        <v>5.44</v>
      </c>
      <c r="Q55">
        <v>71.925899999999999</v>
      </c>
      <c r="R55">
        <v>83.313371814582368</v>
      </c>
      <c r="S55">
        <v>809.72130000000004</v>
      </c>
      <c r="T55">
        <v>7.5190000000000001</v>
      </c>
      <c r="U55">
        <v>411</v>
      </c>
      <c r="V55">
        <f t="shared" si="0"/>
        <v>0.50758205323238992</v>
      </c>
      <c r="W55">
        <v>7.8896845588235296</v>
      </c>
    </row>
    <row r="56" spans="1:23" x14ac:dyDescent="0.35">
      <c r="A56" s="2" t="s">
        <v>250</v>
      </c>
      <c r="B56" s="3" t="s">
        <v>302</v>
      </c>
      <c r="C56" s="3" t="s">
        <v>323</v>
      </c>
      <c r="D56" s="3" t="s">
        <v>314</v>
      </c>
      <c r="E56" s="3" t="s">
        <v>318</v>
      </c>
      <c r="F56">
        <v>5.51</v>
      </c>
      <c r="G56">
        <v>3.69</v>
      </c>
      <c r="H56">
        <v>14506.070548956401</v>
      </c>
      <c r="I56">
        <v>7568.1694684963204</v>
      </c>
      <c r="J56">
        <v>0.83444158911584798</v>
      </c>
      <c r="K56">
        <v>2.4698362651583001</v>
      </c>
      <c r="L56">
        <v>303.52303523035351</v>
      </c>
      <c r="M56">
        <v>355.01355013550199</v>
      </c>
      <c r="N56" s="2">
        <v>-0.34599999999999997</v>
      </c>
      <c r="O56" s="2">
        <v>-0.39800000000000002</v>
      </c>
    </row>
    <row r="57" spans="1:23" x14ac:dyDescent="0.35">
      <c r="A57" s="2" t="s">
        <v>251</v>
      </c>
      <c r="B57" s="3" t="s">
        <v>302</v>
      </c>
      <c r="C57" s="3" t="s">
        <v>323</v>
      </c>
      <c r="D57" s="3" t="s">
        <v>314</v>
      </c>
      <c r="E57" s="3" t="s">
        <v>318</v>
      </c>
      <c r="F57">
        <v>5.42</v>
      </c>
      <c r="G57">
        <v>3.57</v>
      </c>
      <c r="H57">
        <v>13788.495364000801</v>
      </c>
      <c r="I57">
        <v>5367.9270600950003</v>
      </c>
      <c r="J57">
        <v>0.84720904679956599</v>
      </c>
      <c r="K57">
        <v>2.0674337229376998</v>
      </c>
      <c r="L57">
        <v>257.70308123249748</v>
      </c>
      <c r="M57">
        <v>263.30532212885089</v>
      </c>
      <c r="N57" s="2">
        <v>-0.64500000000000002</v>
      </c>
      <c r="O57" s="2">
        <v>-0.59800000000000009</v>
      </c>
      <c r="P57" s="2">
        <v>4.3600000000000003</v>
      </c>
      <c r="Q57">
        <v>149.739</v>
      </c>
      <c r="R57">
        <v>131.65684653025073</v>
      </c>
      <c r="S57">
        <v>955.17370000000005</v>
      </c>
      <c r="T57">
        <v>13.177300000000001</v>
      </c>
      <c r="U57">
        <v>823</v>
      </c>
      <c r="V57">
        <f t="shared" si="0"/>
        <v>0.8616233884999136</v>
      </c>
      <c r="W57">
        <v>13.331411009174309</v>
      </c>
    </row>
    <row r="58" spans="1:23" x14ac:dyDescent="0.35">
      <c r="A58" s="2" t="s">
        <v>252</v>
      </c>
      <c r="B58" s="3" t="s">
        <v>302</v>
      </c>
      <c r="C58" s="3" t="s">
        <v>323</v>
      </c>
      <c r="D58" s="3" t="s">
        <v>314</v>
      </c>
      <c r="E58" s="3" t="s">
        <v>318</v>
      </c>
      <c r="F58">
        <v>4.6500000000000004</v>
      </c>
      <c r="G58">
        <v>3.06</v>
      </c>
      <c r="H58">
        <v>9890.35338165957</v>
      </c>
      <c r="I58">
        <v>4725.38331176882</v>
      </c>
      <c r="J58">
        <v>0.85273729788797503</v>
      </c>
      <c r="K58">
        <v>1.9885609138021301</v>
      </c>
      <c r="L58">
        <v>274.50980392156976</v>
      </c>
      <c r="M58">
        <v>470.58823529411688</v>
      </c>
      <c r="N58" s="2"/>
      <c r="O58" s="2"/>
    </row>
    <row r="59" spans="1:23" x14ac:dyDescent="0.35">
      <c r="A59" s="2" t="s">
        <v>253</v>
      </c>
      <c r="B59" s="3" t="s">
        <v>302</v>
      </c>
      <c r="C59" s="3" t="s">
        <v>323</v>
      </c>
      <c r="D59" s="3" t="s">
        <v>314</v>
      </c>
      <c r="E59" s="3" t="s">
        <v>318</v>
      </c>
      <c r="F59">
        <v>4.7699999999999996</v>
      </c>
      <c r="G59">
        <v>2.95</v>
      </c>
      <c r="H59">
        <v>11735.360684180299</v>
      </c>
      <c r="I59">
        <v>5594.0117584406498</v>
      </c>
      <c r="J59">
        <v>0.848119308969984</v>
      </c>
      <c r="K59">
        <v>2.1888053081573</v>
      </c>
      <c r="L59">
        <v>310.16949152542099</v>
      </c>
      <c r="M59">
        <v>462.71186440678269</v>
      </c>
      <c r="N59" s="2"/>
      <c r="O59" s="2"/>
    </row>
    <row r="60" spans="1:23" x14ac:dyDescent="0.35">
      <c r="A60" s="2" t="s">
        <v>254</v>
      </c>
      <c r="B60" s="3" t="s">
        <v>302</v>
      </c>
      <c r="C60" s="3" t="s">
        <v>323</v>
      </c>
      <c r="D60" s="3" t="s">
        <v>314</v>
      </c>
      <c r="E60" s="3" t="s">
        <v>318</v>
      </c>
      <c r="F60">
        <v>5.58</v>
      </c>
      <c r="G60">
        <v>3.11</v>
      </c>
      <c r="H60">
        <v>15508.2512505548</v>
      </c>
      <c r="I60">
        <v>5067.2877123313501</v>
      </c>
      <c r="J60">
        <v>0.83719398159729796</v>
      </c>
      <c r="K60">
        <v>2.34401976730839</v>
      </c>
      <c r="L60">
        <v>249.19614147910153</v>
      </c>
      <c r="M60">
        <v>290.99678456591676</v>
      </c>
      <c r="N60" s="2"/>
      <c r="O60" s="2"/>
      <c r="P60" s="2">
        <v>8.64</v>
      </c>
    </row>
    <row r="61" spans="1:23" x14ac:dyDescent="0.35">
      <c r="A61" s="2" t="s">
        <v>255</v>
      </c>
      <c r="B61" s="3" t="s">
        <v>302</v>
      </c>
      <c r="C61" s="3" t="s">
        <v>323</v>
      </c>
      <c r="D61" s="3" t="s">
        <v>314</v>
      </c>
      <c r="E61" s="3" t="s">
        <v>318</v>
      </c>
      <c r="F61">
        <v>5.49</v>
      </c>
      <c r="G61">
        <v>3.54</v>
      </c>
      <c r="H61">
        <v>13677.5474453978</v>
      </c>
      <c r="I61">
        <v>5736.8688229238796</v>
      </c>
      <c r="J61">
        <v>0.84284551943114605</v>
      </c>
      <c r="K61">
        <v>2.3984953692326201</v>
      </c>
      <c r="L61">
        <v>233.05084745763193</v>
      </c>
      <c r="M61">
        <v>317.79661016949154</v>
      </c>
      <c r="N61" s="2"/>
      <c r="O61" s="2"/>
      <c r="P61" s="2">
        <v>4.8</v>
      </c>
      <c r="Q61">
        <v>93.741500000000002</v>
      </c>
      <c r="R61">
        <v>169.6382955272413</v>
      </c>
      <c r="S61">
        <v>806.02850000000001</v>
      </c>
      <c r="T61">
        <v>9.4222000000000001</v>
      </c>
      <c r="U61">
        <v>490</v>
      </c>
      <c r="V61">
        <f t="shared" si="0"/>
        <v>0.60791895075670399</v>
      </c>
      <c r="W61">
        <v>9.9085149999999995</v>
      </c>
    </row>
    <row r="62" spans="1:23" x14ac:dyDescent="0.35">
      <c r="A62" s="2" t="s">
        <v>10</v>
      </c>
      <c r="B62" s="3" t="s">
        <v>303</v>
      </c>
      <c r="C62" s="3" t="s">
        <v>322</v>
      </c>
      <c r="D62" s="3" t="s">
        <v>316</v>
      </c>
      <c r="E62" s="3" t="s">
        <v>317</v>
      </c>
      <c r="F62">
        <v>5.09</v>
      </c>
      <c r="G62">
        <v>3.42</v>
      </c>
      <c r="H62">
        <v>12607.165563700701</v>
      </c>
      <c r="I62">
        <v>5542.8539241823</v>
      </c>
      <c r="J62">
        <v>0.83553595180150997</v>
      </c>
      <c r="K62">
        <v>2.6288600118050298</v>
      </c>
      <c r="L62">
        <v>198.83040935672713</v>
      </c>
      <c r="M62">
        <v>169.59064327485746</v>
      </c>
      <c r="N62" s="2"/>
      <c r="O62" s="2"/>
      <c r="P62" s="2">
        <v>6.48</v>
      </c>
      <c r="Q62">
        <v>41.697699999999998</v>
      </c>
      <c r="R62">
        <v>26.7989</v>
      </c>
      <c r="S62">
        <v>413.99680000000001</v>
      </c>
      <c r="T62">
        <v>3.5773000000000001</v>
      </c>
      <c r="U62">
        <v>215</v>
      </c>
      <c r="V62">
        <f t="shared" si="0"/>
        <v>0.51932768562462317</v>
      </c>
      <c r="W62">
        <v>3.6080481481481477</v>
      </c>
    </row>
    <row r="63" spans="1:23" x14ac:dyDescent="0.35">
      <c r="A63" s="2" t="s">
        <v>11</v>
      </c>
      <c r="B63" s="3" t="s">
        <v>303</v>
      </c>
      <c r="C63" s="3" t="s">
        <v>322</v>
      </c>
      <c r="D63" s="3" t="s">
        <v>316</v>
      </c>
      <c r="E63" s="3" t="s">
        <v>317</v>
      </c>
      <c r="F63">
        <v>5.58</v>
      </c>
      <c r="G63">
        <v>3.59</v>
      </c>
      <c r="H63">
        <v>12844.243655287701</v>
      </c>
      <c r="I63">
        <v>5054.5572226829499</v>
      </c>
      <c r="J63">
        <v>0.82005457339175103</v>
      </c>
      <c r="K63">
        <v>2.2009704884180898</v>
      </c>
      <c r="L63">
        <v>196.37883008356894</v>
      </c>
      <c r="M63">
        <v>174.09470752089138</v>
      </c>
      <c r="N63" s="2"/>
      <c r="O63" s="2"/>
      <c r="P63" s="2">
        <v>7.16</v>
      </c>
      <c r="Q63">
        <v>117.0913</v>
      </c>
      <c r="R63">
        <v>70.792599999999993</v>
      </c>
      <c r="S63">
        <v>695.6114</v>
      </c>
      <c r="T63">
        <v>8.5371000000000006</v>
      </c>
      <c r="U63">
        <v>596</v>
      </c>
      <c r="V63">
        <f t="shared" si="0"/>
        <v>0.85680021920284799</v>
      </c>
      <c r="W63">
        <v>6.9397776536312854</v>
      </c>
    </row>
    <row r="64" spans="1:23" x14ac:dyDescent="0.35">
      <c r="A64" s="2" t="s">
        <v>12</v>
      </c>
      <c r="B64" s="3" t="s">
        <v>303</v>
      </c>
      <c r="C64" s="3" t="s">
        <v>322</v>
      </c>
      <c r="D64" s="3" t="s">
        <v>316</v>
      </c>
      <c r="E64" s="3" t="s">
        <v>317</v>
      </c>
      <c r="F64">
        <v>6.07</v>
      </c>
      <c r="G64">
        <v>3.92</v>
      </c>
      <c r="H64">
        <v>16709.797137175701</v>
      </c>
      <c r="I64">
        <v>6338.7124929432002</v>
      </c>
      <c r="J64">
        <v>0.84350469192087196</v>
      </c>
      <c r="K64">
        <v>2.6699021321607099</v>
      </c>
      <c r="L64">
        <v>235.96938775510495</v>
      </c>
      <c r="M64">
        <v>170.91836734693558</v>
      </c>
      <c r="N64" s="2"/>
      <c r="O64" s="2"/>
      <c r="P64" s="2">
        <v>6.8</v>
      </c>
    </row>
    <row r="65" spans="1:23" x14ac:dyDescent="0.35">
      <c r="A65" s="2" t="s">
        <v>13</v>
      </c>
      <c r="B65" s="3" t="s">
        <v>303</v>
      </c>
      <c r="C65" s="3" t="s">
        <v>322</v>
      </c>
      <c r="D65" s="3" t="s">
        <v>316</v>
      </c>
      <c r="E65" s="3" t="s">
        <v>317</v>
      </c>
      <c r="F65">
        <v>4.76</v>
      </c>
      <c r="G65">
        <v>3.38</v>
      </c>
      <c r="H65">
        <v>12913.892758677501</v>
      </c>
      <c r="I65">
        <v>4709.7807378232101</v>
      </c>
      <c r="J65">
        <v>0.74889754968806999</v>
      </c>
      <c r="K65">
        <v>2.2581836718327502</v>
      </c>
      <c r="L65">
        <v>189.34911242603147</v>
      </c>
      <c r="M65">
        <v>171.59763313609417</v>
      </c>
      <c r="N65" s="2"/>
      <c r="O65" s="2"/>
      <c r="P65" s="2">
        <v>4.04</v>
      </c>
    </row>
    <row r="66" spans="1:23" x14ac:dyDescent="0.35">
      <c r="A66" s="2" t="s">
        <v>14</v>
      </c>
      <c r="B66" s="3" t="s">
        <v>303</v>
      </c>
      <c r="C66" s="3" t="s">
        <v>322</v>
      </c>
      <c r="D66" s="3" t="s">
        <v>316</v>
      </c>
      <c r="E66" s="3" t="s">
        <v>317</v>
      </c>
      <c r="F66">
        <v>6.5500000000000007</v>
      </c>
      <c r="G66">
        <v>3.72</v>
      </c>
      <c r="H66">
        <v>14596.2628536459</v>
      </c>
      <c r="I66">
        <v>6558.5521177474702</v>
      </c>
      <c r="J66">
        <v>0.80677934172624499</v>
      </c>
      <c r="K66">
        <v>1.8109588124176601</v>
      </c>
      <c r="L66">
        <v>227.15053763440829</v>
      </c>
      <c r="M66">
        <v>174.73118279570045</v>
      </c>
      <c r="N66" s="2"/>
      <c r="O66" s="2"/>
      <c r="P66" s="2">
        <v>6.44</v>
      </c>
      <c r="Q66">
        <v>75.870900000000006</v>
      </c>
      <c r="R66">
        <v>90.972700000000003</v>
      </c>
      <c r="S66">
        <v>568.1232</v>
      </c>
      <c r="T66">
        <v>6.3113000000000001</v>
      </c>
      <c r="U66">
        <v>301</v>
      </c>
      <c r="V66">
        <f t="shared" si="0"/>
        <v>0.52981465991883447</v>
      </c>
      <c r="W66">
        <v>5.7720689440993782</v>
      </c>
    </row>
    <row r="67" spans="1:23" x14ac:dyDescent="0.35">
      <c r="A67" s="2" t="s">
        <v>15</v>
      </c>
      <c r="B67" s="3" t="s">
        <v>303</v>
      </c>
      <c r="C67" s="3" t="s">
        <v>322</v>
      </c>
      <c r="D67" s="3" t="s">
        <v>316</v>
      </c>
      <c r="E67" s="3" t="s">
        <v>317</v>
      </c>
      <c r="F67">
        <v>5.0199999999999996</v>
      </c>
      <c r="G67">
        <v>3.34</v>
      </c>
      <c r="H67">
        <v>11695.898012260301</v>
      </c>
      <c r="I67">
        <v>4986.7584521070003</v>
      </c>
      <c r="J67">
        <v>0.72485122382572098</v>
      </c>
      <c r="K67">
        <v>3.7835208926357602</v>
      </c>
      <c r="L67">
        <v>173.65269461077369</v>
      </c>
      <c r="M67">
        <v>103.29341317365235</v>
      </c>
      <c r="N67" s="2"/>
      <c r="O67" s="2"/>
    </row>
    <row r="68" spans="1:23" x14ac:dyDescent="0.35">
      <c r="A68" s="2" t="s">
        <v>16</v>
      </c>
      <c r="B68" s="3" t="s">
        <v>303</v>
      </c>
      <c r="C68" s="3" t="s">
        <v>322</v>
      </c>
      <c r="D68" s="3" t="s">
        <v>316</v>
      </c>
      <c r="E68" s="3" t="s">
        <v>317</v>
      </c>
      <c r="F68">
        <v>5.38</v>
      </c>
      <c r="G68">
        <v>3.09</v>
      </c>
      <c r="H68">
        <v>13095.782550173901</v>
      </c>
      <c r="I68">
        <v>6104.5104942463604</v>
      </c>
      <c r="J68">
        <v>0.82255541036663904</v>
      </c>
      <c r="K68">
        <v>2.1282750454821699</v>
      </c>
      <c r="L68">
        <v>186.08414239482295</v>
      </c>
      <c r="M68">
        <v>105.17799352750441</v>
      </c>
      <c r="N68" s="2">
        <v>-1.1240000000000001</v>
      </c>
      <c r="O68" s="2">
        <v>-0.43600000000000005</v>
      </c>
    </row>
    <row r="69" spans="1:23" x14ac:dyDescent="0.35">
      <c r="A69" s="2" t="s">
        <v>17</v>
      </c>
      <c r="B69" s="3" t="s">
        <v>303</v>
      </c>
      <c r="C69" s="3" t="s">
        <v>322</v>
      </c>
      <c r="D69" s="3" t="s">
        <v>316</v>
      </c>
      <c r="E69" s="3" t="s">
        <v>317</v>
      </c>
      <c r="F69">
        <v>4.6500000000000004</v>
      </c>
      <c r="G69">
        <v>3.06</v>
      </c>
      <c r="H69">
        <v>12919.202584888901</v>
      </c>
      <c r="I69">
        <v>5810.5543321615796</v>
      </c>
      <c r="J69">
        <v>0.83755469867601895</v>
      </c>
      <c r="K69">
        <v>2.29183936112956</v>
      </c>
      <c r="L69">
        <v>184.64052287581626</v>
      </c>
      <c r="M69">
        <v>50.653594771242197</v>
      </c>
      <c r="N69" s="2">
        <v>-1.3039999999999998</v>
      </c>
      <c r="O69" s="2">
        <v>-0.57300000000000006</v>
      </c>
    </row>
    <row r="70" spans="1:23" x14ac:dyDescent="0.35">
      <c r="A70" s="2" t="s">
        <v>18</v>
      </c>
      <c r="B70" s="3" t="s">
        <v>303</v>
      </c>
      <c r="C70" s="3" t="s">
        <v>322</v>
      </c>
      <c r="D70" s="3" t="s">
        <v>316</v>
      </c>
      <c r="E70" s="3" t="s">
        <v>317</v>
      </c>
      <c r="F70">
        <v>4.5</v>
      </c>
      <c r="G70">
        <v>2.87</v>
      </c>
      <c r="H70">
        <v>11590.305640480099</v>
      </c>
      <c r="I70">
        <v>4829.5759730094196</v>
      </c>
      <c r="J70">
        <v>0.68735969675528497</v>
      </c>
      <c r="K70">
        <v>3.7520006929302498</v>
      </c>
      <c r="L70">
        <v>193.37979094075902</v>
      </c>
      <c r="M70">
        <v>50.522648083622308</v>
      </c>
      <c r="N70" s="2">
        <v>-1.3210000000000002</v>
      </c>
      <c r="O70" s="2">
        <v>-0.748</v>
      </c>
    </row>
    <row r="71" spans="1:23" x14ac:dyDescent="0.35">
      <c r="A71" s="2" t="s">
        <v>19</v>
      </c>
      <c r="B71" s="3" t="s">
        <v>303</v>
      </c>
      <c r="C71" s="3" t="s">
        <v>322</v>
      </c>
      <c r="D71" s="3" t="s">
        <v>316</v>
      </c>
      <c r="E71" s="3" t="s">
        <v>317</v>
      </c>
      <c r="F71">
        <v>4.2200000000000006</v>
      </c>
      <c r="G71">
        <v>2.68</v>
      </c>
      <c r="H71">
        <v>10703.2164817391</v>
      </c>
      <c r="I71">
        <v>4901.19966007725</v>
      </c>
      <c r="J71">
        <v>0.71284634260984203</v>
      </c>
      <c r="K71">
        <v>2.5559978102602701</v>
      </c>
      <c r="L71">
        <v>194.02985074626187</v>
      </c>
      <c r="M71">
        <v>16.791044776120039</v>
      </c>
      <c r="N71" s="2"/>
      <c r="O71" s="2"/>
    </row>
    <row r="72" spans="1:23" x14ac:dyDescent="0.35">
      <c r="A72" s="2" t="s">
        <v>156</v>
      </c>
      <c r="B72" s="3" t="s">
        <v>303</v>
      </c>
      <c r="C72" s="3" t="s">
        <v>323</v>
      </c>
      <c r="D72" s="3" t="s">
        <v>316</v>
      </c>
      <c r="E72" s="3" t="s">
        <v>317</v>
      </c>
      <c r="F72">
        <v>4.09</v>
      </c>
      <c r="G72">
        <v>2.57</v>
      </c>
      <c r="H72">
        <v>12106.1512701259</v>
      </c>
      <c r="I72">
        <v>4443.16577349401</v>
      </c>
      <c r="J72">
        <v>0.78144466469613805</v>
      </c>
      <c r="K72">
        <v>2.9003297977970002</v>
      </c>
      <c r="L72">
        <v>383.26848249027216</v>
      </c>
      <c r="M72">
        <v>678.98832684825084</v>
      </c>
      <c r="N72" s="2">
        <v>-0.29799999999999999</v>
      </c>
      <c r="O72" s="2">
        <v>-0.51</v>
      </c>
    </row>
    <row r="73" spans="1:23" x14ac:dyDescent="0.35">
      <c r="A73" s="2" t="s">
        <v>157</v>
      </c>
      <c r="B73" s="3" t="s">
        <v>303</v>
      </c>
      <c r="C73" s="3" t="s">
        <v>323</v>
      </c>
      <c r="D73" s="3" t="s">
        <v>316</v>
      </c>
      <c r="E73" s="3" t="s">
        <v>317</v>
      </c>
      <c r="F73">
        <v>5.89</v>
      </c>
      <c r="G73">
        <v>3.84</v>
      </c>
      <c r="H73">
        <v>15812.981389601</v>
      </c>
      <c r="I73">
        <v>6320.8475240908301</v>
      </c>
      <c r="J73">
        <v>0.77305539929506195</v>
      </c>
      <c r="K73">
        <v>2.91201579303483</v>
      </c>
      <c r="L73">
        <v>218.74999999999349</v>
      </c>
      <c r="M73">
        <v>296.87499999999648</v>
      </c>
      <c r="N73" s="2"/>
      <c r="O73" s="2"/>
    </row>
    <row r="74" spans="1:23" x14ac:dyDescent="0.35">
      <c r="A74" s="2" t="s">
        <v>158</v>
      </c>
      <c r="B74" s="3" t="s">
        <v>303</v>
      </c>
      <c r="C74" s="3" t="s">
        <v>323</v>
      </c>
      <c r="D74" s="3" t="s">
        <v>316</v>
      </c>
      <c r="E74" s="3" t="s">
        <v>317</v>
      </c>
      <c r="F74">
        <v>4.95</v>
      </c>
      <c r="G74">
        <v>3.48</v>
      </c>
      <c r="H74">
        <v>14760.624599103199</v>
      </c>
      <c r="I74">
        <v>6213.6342301704299</v>
      </c>
      <c r="J74">
        <v>0.75195773106747998</v>
      </c>
      <c r="K74">
        <v>3.0399354271339898</v>
      </c>
      <c r="L74">
        <v>294.54022988505096</v>
      </c>
      <c r="M74">
        <v>443.96551724137572</v>
      </c>
      <c r="N74" s="2">
        <v>-0.33100000000000002</v>
      </c>
      <c r="O74" s="2">
        <v>-0.497</v>
      </c>
      <c r="P74" s="2">
        <v>3.8</v>
      </c>
      <c r="Q74">
        <v>101.0998</v>
      </c>
      <c r="R74">
        <v>134.27168426217656</v>
      </c>
      <c r="S74">
        <v>603.10910000000001</v>
      </c>
      <c r="T74">
        <v>6.8376999999999999</v>
      </c>
      <c r="U74">
        <v>724</v>
      </c>
      <c r="V74">
        <f t="shared" ref="V74:V131" si="1">+U74/S74</f>
        <v>1.2004461547670231</v>
      </c>
      <c r="W74">
        <v>10.193475789473684</v>
      </c>
    </row>
    <row r="75" spans="1:23" x14ac:dyDescent="0.35">
      <c r="A75" s="2" t="s">
        <v>159</v>
      </c>
      <c r="B75" s="3" t="s">
        <v>303</v>
      </c>
      <c r="C75" s="3" t="s">
        <v>323</v>
      </c>
      <c r="D75" s="3" t="s">
        <v>316</v>
      </c>
      <c r="E75" s="3" t="s">
        <v>317</v>
      </c>
      <c r="F75">
        <v>4.5999999999999996</v>
      </c>
      <c r="G75">
        <v>2.82</v>
      </c>
      <c r="H75">
        <v>12983.5587690415</v>
      </c>
      <c r="I75">
        <v>5172.7037785826797</v>
      </c>
      <c r="J75">
        <v>0.71709540989973497</v>
      </c>
      <c r="K75">
        <v>2.6435333659002</v>
      </c>
      <c r="L75">
        <v>342.19858156028494</v>
      </c>
      <c r="M75">
        <v>526.59574468085589</v>
      </c>
      <c r="N75" s="2">
        <v>-0.38300000000000001</v>
      </c>
      <c r="O75" s="2">
        <v>-0.53800000000000003</v>
      </c>
      <c r="P75" s="2">
        <v>4.5999999999999996</v>
      </c>
      <c r="Q75">
        <v>61.2042</v>
      </c>
      <c r="R75">
        <v>44.995370168812549</v>
      </c>
      <c r="S75">
        <v>377.58269999999999</v>
      </c>
      <c r="T75">
        <v>5.1044</v>
      </c>
      <c r="U75">
        <v>355</v>
      </c>
      <c r="V75">
        <f t="shared" si="1"/>
        <v>0.94019138059026541</v>
      </c>
      <c r="W75">
        <v>5.686134782608697</v>
      </c>
    </row>
    <row r="76" spans="1:23" x14ac:dyDescent="0.35">
      <c r="A76" s="2" t="s">
        <v>160</v>
      </c>
      <c r="B76" s="3" t="s">
        <v>303</v>
      </c>
      <c r="C76" s="3" t="s">
        <v>323</v>
      </c>
      <c r="D76" s="3" t="s">
        <v>316</v>
      </c>
      <c r="E76" s="3" t="s">
        <v>317</v>
      </c>
      <c r="F76">
        <v>5.4399999999999995</v>
      </c>
      <c r="G76">
        <v>3.71</v>
      </c>
      <c r="H76">
        <v>14544.514098789499</v>
      </c>
      <c r="I76">
        <v>4282.5549955822798</v>
      </c>
      <c r="J76">
        <v>0.83698590625566405</v>
      </c>
      <c r="K76">
        <v>2.16787354233028</v>
      </c>
      <c r="L76">
        <v>250.67385444744119</v>
      </c>
      <c r="M76">
        <v>370.61994609164418</v>
      </c>
      <c r="N76" s="2"/>
      <c r="O76" s="2"/>
      <c r="P76" s="2">
        <v>4.5599999999999996</v>
      </c>
    </row>
    <row r="77" spans="1:23" x14ac:dyDescent="0.35">
      <c r="A77" s="2" t="s">
        <v>161</v>
      </c>
      <c r="B77" s="3" t="s">
        <v>303</v>
      </c>
      <c r="C77" s="3" t="s">
        <v>323</v>
      </c>
      <c r="D77" s="3" t="s">
        <v>316</v>
      </c>
      <c r="E77" s="3" t="s">
        <v>317</v>
      </c>
      <c r="F77">
        <v>3.32</v>
      </c>
      <c r="G77">
        <v>2.3199999999999998</v>
      </c>
      <c r="H77">
        <v>9745.9777526839607</v>
      </c>
      <c r="I77">
        <v>5193.4673425839301</v>
      </c>
      <c r="J77">
        <v>0.83491023096314398</v>
      </c>
      <c r="K77">
        <v>2.6592345200654699</v>
      </c>
      <c r="L77">
        <v>493.53448275862513</v>
      </c>
      <c r="M77">
        <v>612.06896551723605</v>
      </c>
      <c r="N77" s="2"/>
      <c r="O77" s="2"/>
    </row>
    <row r="78" spans="1:23" x14ac:dyDescent="0.35">
      <c r="A78" s="2" t="s">
        <v>162</v>
      </c>
      <c r="B78" s="3" t="s">
        <v>303</v>
      </c>
      <c r="C78" s="3" t="s">
        <v>323</v>
      </c>
      <c r="D78" s="3" t="s">
        <v>316</v>
      </c>
      <c r="E78" s="3" t="s">
        <v>317</v>
      </c>
      <c r="F78">
        <v>7.99</v>
      </c>
      <c r="G78">
        <v>4.9400000000000004</v>
      </c>
      <c r="H78">
        <v>19527.285071046699</v>
      </c>
      <c r="I78">
        <v>7916.9393210882499</v>
      </c>
      <c r="J78">
        <v>0.70648762567860202</v>
      </c>
      <c r="K78">
        <v>3.60999484944703</v>
      </c>
      <c r="L78">
        <v>155.87044534412587</v>
      </c>
      <c r="M78">
        <v>237.85425101214804</v>
      </c>
      <c r="N78" s="2"/>
      <c r="O78" s="2"/>
    </row>
    <row r="79" spans="1:23" x14ac:dyDescent="0.35">
      <c r="A79" s="2" t="s">
        <v>163</v>
      </c>
      <c r="B79" s="3" t="s">
        <v>303</v>
      </c>
      <c r="C79" s="3" t="s">
        <v>323</v>
      </c>
      <c r="D79" s="3" t="s">
        <v>316</v>
      </c>
      <c r="E79" s="3" t="s">
        <v>317</v>
      </c>
      <c r="F79">
        <v>5.46</v>
      </c>
      <c r="G79">
        <v>3.92</v>
      </c>
      <c r="H79">
        <v>12586.5540983055</v>
      </c>
      <c r="I79">
        <v>6652.7941050384097</v>
      </c>
      <c r="J79">
        <v>0.829492475606595</v>
      </c>
      <c r="K79">
        <v>2.2312902427522698</v>
      </c>
      <c r="L79">
        <v>288.26530612245506</v>
      </c>
      <c r="M79">
        <v>281.88775510203823</v>
      </c>
      <c r="N79" s="2"/>
      <c r="O79" s="2"/>
      <c r="P79" s="2">
        <v>5.92</v>
      </c>
    </row>
    <row r="80" spans="1:23" x14ac:dyDescent="0.35">
      <c r="A80" s="2" t="s">
        <v>164</v>
      </c>
      <c r="B80" s="3" t="s">
        <v>303</v>
      </c>
      <c r="C80" s="3" t="s">
        <v>323</v>
      </c>
      <c r="D80" s="3" t="s">
        <v>316</v>
      </c>
      <c r="E80" s="3" t="s">
        <v>317</v>
      </c>
      <c r="F80">
        <v>5.05</v>
      </c>
      <c r="G80">
        <v>3.03</v>
      </c>
      <c r="H80">
        <v>10063.9282709862</v>
      </c>
      <c r="I80">
        <v>5049.0005394763402</v>
      </c>
      <c r="J80">
        <v>0.85591223216727996</v>
      </c>
      <c r="K80">
        <v>2.2418356720188299</v>
      </c>
      <c r="L80">
        <v>305.28052805280907</v>
      </c>
      <c r="M80">
        <v>376.23762376237175</v>
      </c>
      <c r="N80" s="2"/>
      <c r="O80" s="2"/>
      <c r="P80" s="2">
        <v>6.04</v>
      </c>
      <c r="Q80">
        <v>65.945099999999996</v>
      </c>
      <c r="R80">
        <v>149.84879682537328</v>
      </c>
      <c r="S80">
        <v>411.19990000000001</v>
      </c>
      <c r="T80">
        <v>5.2935999999999996</v>
      </c>
      <c r="U80">
        <v>647</v>
      </c>
      <c r="V80">
        <f t="shared" si="1"/>
        <v>1.5734439624134149</v>
      </c>
      <c r="W80">
        <v>5.4092900662251653</v>
      </c>
    </row>
    <row r="81" spans="1:23" x14ac:dyDescent="0.35">
      <c r="A81" s="2" t="s">
        <v>165</v>
      </c>
      <c r="B81" s="3" t="s">
        <v>303</v>
      </c>
      <c r="C81" s="3" t="s">
        <v>323</v>
      </c>
      <c r="D81" s="3" t="s">
        <v>316</v>
      </c>
      <c r="E81" s="3" t="s">
        <v>317</v>
      </c>
      <c r="F81">
        <v>5.5600000000000005</v>
      </c>
      <c r="G81">
        <v>3.64</v>
      </c>
      <c r="H81">
        <v>14340.4284091276</v>
      </c>
      <c r="I81">
        <v>7870.8976536794898</v>
      </c>
      <c r="J81">
        <v>0.79901196332762803</v>
      </c>
      <c r="K81">
        <v>2.7676934785866298</v>
      </c>
      <c r="L81">
        <v>282.96703296703328</v>
      </c>
      <c r="M81">
        <v>299.4505494505504</v>
      </c>
      <c r="N81" s="2"/>
      <c r="O81" s="2"/>
    </row>
    <row r="82" spans="1:23" x14ac:dyDescent="0.35">
      <c r="A82" s="2" t="s">
        <v>20</v>
      </c>
      <c r="B82" s="3" t="s">
        <v>304</v>
      </c>
      <c r="C82" s="3" t="s">
        <v>322</v>
      </c>
      <c r="D82" s="3" t="s">
        <v>314</v>
      </c>
      <c r="E82" s="3" t="s">
        <v>318</v>
      </c>
      <c r="F82">
        <v>7.49</v>
      </c>
      <c r="G82">
        <v>5.0999999999999996</v>
      </c>
      <c r="H82">
        <v>17880.274891708701</v>
      </c>
      <c r="I82">
        <v>5679.0616924476999</v>
      </c>
      <c r="J82">
        <v>0.79962226983234297</v>
      </c>
      <c r="K82">
        <v>2.8337669919646702</v>
      </c>
      <c r="L82">
        <v>204.90196078431686</v>
      </c>
      <c r="M82">
        <v>140.19607843137322</v>
      </c>
      <c r="N82" s="2"/>
      <c r="O82" s="2"/>
    </row>
    <row r="83" spans="1:23" x14ac:dyDescent="0.35">
      <c r="A83" s="2" t="s">
        <v>21</v>
      </c>
      <c r="B83" s="3" t="s">
        <v>304</v>
      </c>
      <c r="C83" s="3" t="s">
        <v>322</v>
      </c>
      <c r="D83" s="3" t="s">
        <v>314</v>
      </c>
      <c r="E83" s="3" t="s">
        <v>318</v>
      </c>
      <c r="F83">
        <v>5.28</v>
      </c>
      <c r="G83">
        <v>3.6</v>
      </c>
      <c r="H83">
        <v>15453.4583630544</v>
      </c>
      <c r="I83">
        <v>6277.7950619943904</v>
      </c>
      <c r="J83">
        <v>0.81569781515379602</v>
      </c>
      <c r="K83">
        <v>2.14835714306182</v>
      </c>
      <c r="L83">
        <v>194.44444444444918</v>
      </c>
      <c r="M83">
        <v>111.11111111111269</v>
      </c>
      <c r="N83" s="2"/>
      <c r="O83" s="2"/>
      <c r="P83" s="2">
        <v>6</v>
      </c>
      <c r="Q83">
        <v>104.9982</v>
      </c>
      <c r="R83">
        <v>93.677899999999994</v>
      </c>
      <c r="S83">
        <v>1006.4868</v>
      </c>
      <c r="T83">
        <v>10.6852</v>
      </c>
      <c r="U83">
        <v>542</v>
      </c>
      <c r="V83">
        <f t="shared" si="1"/>
        <v>0.53850681399895162</v>
      </c>
      <c r="W83">
        <v>9.4390999999999998</v>
      </c>
    </row>
    <row r="84" spans="1:23" x14ac:dyDescent="0.35">
      <c r="A84" s="2" t="s">
        <v>22</v>
      </c>
      <c r="B84" s="3" t="s">
        <v>304</v>
      </c>
      <c r="C84" s="3" t="s">
        <v>322</v>
      </c>
      <c r="D84" s="3" t="s">
        <v>314</v>
      </c>
      <c r="E84" s="3" t="s">
        <v>318</v>
      </c>
      <c r="F84">
        <v>6.08</v>
      </c>
      <c r="G84">
        <v>3.82</v>
      </c>
      <c r="H84">
        <v>18311.642275072099</v>
      </c>
      <c r="I84">
        <v>6152.7434828524501</v>
      </c>
      <c r="J84">
        <v>0.82539696694897802</v>
      </c>
      <c r="K84">
        <v>2.38087910990521</v>
      </c>
      <c r="L84">
        <v>251.3089005235623</v>
      </c>
      <c r="M84">
        <v>163.61256544502618</v>
      </c>
      <c r="N84" s="2">
        <v>-1.022</v>
      </c>
      <c r="O84" s="2">
        <v>-0.48499999999999999</v>
      </c>
    </row>
    <row r="85" spans="1:23" x14ac:dyDescent="0.35">
      <c r="A85" s="2" t="s">
        <v>23</v>
      </c>
      <c r="B85" s="3" t="s">
        <v>304</v>
      </c>
      <c r="C85" s="3" t="s">
        <v>322</v>
      </c>
      <c r="D85" s="3" t="s">
        <v>314</v>
      </c>
      <c r="E85" s="3" t="s">
        <v>318</v>
      </c>
      <c r="F85">
        <v>5.55</v>
      </c>
      <c r="G85">
        <v>3.63</v>
      </c>
      <c r="H85">
        <v>12975.688881815</v>
      </c>
      <c r="I85">
        <v>5657.5399201641203</v>
      </c>
      <c r="J85">
        <v>0.78160435101861103</v>
      </c>
      <c r="K85">
        <v>2.63284354563178</v>
      </c>
      <c r="L85">
        <v>206.61157024793388</v>
      </c>
      <c r="M85">
        <v>136.36363636363762</v>
      </c>
      <c r="N85" s="2">
        <v>-1.1869999999999998</v>
      </c>
      <c r="O85" s="2">
        <v>-0.57000000000000006</v>
      </c>
      <c r="P85" s="2">
        <v>5</v>
      </c>
      <c r="Q85">
        <v>97.889099999999999</v>
      </c>
      <c r="R85">
        <v>47.172499999999999</v>
      </c>
      <c r="S85">
        <v>571.71019999999999</v>
      </c>
      <c r="T85">
        <v>7.7416999999999998</v>
      </c>
      <c r="U85">
        <v>422</v>
      </c>
      <c r="V85">
        <f t="shared" si="1"/>
        <v>0.73813620956911385</v>
      </c>
      <c r="W85">
        <v>6.93</v>
      </c>
    </row>
    <row r="86" spans="1:23" x14ac:dyDescent="0.35">
      <c r="A86" s="2" t="s">
        <v>24</v>
      </c>
      <c r="B86" s="3" t="s">
        <v>304</v>
      </c>
      <c r="C86" s="3" t="s">
        <v>322</v>
      </c>
      <c r="D86" s="3" t="s">
        <v>314</v>
      </c>
      <c r="E86" s="3" t="s">
        <v>318</v>
      </c>
      <c r="F86">
        <v>5</v>
      </c>
      <c r="G86">
        <v>2.91</v>
      </c>
      <c r="H86">
        <v>10301.2888001376</v>
      </c>
      <c r="I86">
        <v>5603.8341166107602</v>
      </c>
      <c r="J86">
        <v>0.83718334364515201</v>
      </c>
      <c r="K86">
        <v>2.7868901750500501</v>
      </c>
      <c r="L86">
        <v>187.28522336769328</v>
      </c>
      <c r="M86">
        <v>39.518900343640851</v>
      </c>
      <c r="N86" s="2"/>
      <c r="O86" s="2"/>
      <c r="P86" s="2">
        <v>5.2</v>
      </c>
    </row>
    <row r="87" spans="1:23" x14ac:dyDescent="0.35">
      <c r="A87" s="2" t="s">
        <v>25</v>
      </c>
      <c r="B87" s="3" t="s">
        <v>304</v>
      </c>
      <c r="C87" s="3" t="s">
        <v>322</v>
      </c>
      <c r="D87" s="3" t="s">
        <v>314</v>
      </c>
      <c r="E87" s="3" t="s">
        <v>318</v>
      </c>
      <c r="F87">
        <v>4.8100000000000005</v>
      </c>
      <c r="G87">
        <v>2.91</v>
      </c>
      <c r="H87">
        <v>12731.8335046425</v>
      </c>
      <c r="I87">
        <v>5209.1522226602301</v>
      </c>
      <c r="J87">
        <v>0.83824637895841203</v>
      </c>
      <c r="K87">
        <v>2.2461612283921899</v>
      </c>
      <c r="L87">
        <v>187.28522336770305</v>
      </c>
      <c r="M87">
        <v>49.828178694156705</v>
      </c>
      <c r="N87" s="2"/>
      <c r="O87" s="2"/>
    </row>
    <row r="88" spans="1:23" x14ac:dyDescent="0.35">
      <c r="A88" s="2" t="s">
        <v>26</v>
      </c>
      <c r="B88" s="3" t="s">
        <v>304</v>
      </c>
      <c r="C88" s="3" t="s">
        <v>322</v>
      </c>
      <c r="D88" s="3" t="s">
        <v>314</v>
      </c>
      <c r="E88" s="3" t="s">
        <v>318</v>
      </c>
      <c r="F88">
        <v>5.87</v>
      </c>
      <c r="G88">
        <v>3.38</v>
      </c>
      <c r="H88">
        <v>14754.396630794399</v>
      </c>
      <c r="I88">
        <v>5407.3501075641698</v>
      </c>
      <c r="J88">
        <v>0.84100519043570998</v>
      </c>
      <c r="K88">
        <v>2.2588327862338602</v>
      </c>
      <c r="L88">
        <v>174.55621301774829</v>
      </c>
      <c r="M88">
        <v>72.485207100588866</v>
      </c>
      <c r="N88" s="2"/>
      <c r="O88" s="2"/>
      <c r="P88" s="2">
        <v>7.88</v>
      </c>
    </row>
    <row r="89" spans="1:23" x14ac:dyDescent="0.35">
      <c r="A89" s="2" t="s">
        <v>27</v>
      </c>
      <c r="B89" s="3" t="s">
        <v>304</v>
      </c>
      <c r="C89" s="3" t="s">
        <v>322</v>
      </c>
      <c r="D89" s="3" t="s">
        <v>314</v>
      </c>
      <c r="E89" s="3" t="s">
        <v>318</v>
      </c>
      <c r="F89">
        <v>7.3100000000000005</v>
      </c>
      <c r="G89">
        <v>4.28</v>
      </c>
      <c r="H89">
        <v>15019.877934428399</v>
      </c>
      <c r="I89">
        <v>8884.4756943985703</v>
      </c>
      <c r="J89">
        <v>0.76491932275443897</v>
      </c>
      <c r="K89">
        <v>2.9147019511288699</v>
      </c>
      <c r="L89">
        <v>239.48598130841253</v>
      </c>
      <c r="M89">
        <v>154.2056074766347</v>
      </c>
      <c r="N89" s="2">
        <v>-1.012</v>
      </c>
      <c r="O89" s="2">
        <v>-0.46200000000000002</v>
      </c>
    </row>
    <row r="90" spans="1:23" x14ac:dyDescent="0.35">
      <c r="A90" s="2" t="s">
        <v>28</v>
      </c>
      <c r="B90" s="3" t="s">
        <v>304</v>
      </c>
      <c r="C90" s="3" t="s">
        <v>322</v>
      </c>
      <c r="D90" s="3" t="s">
        <v>314</v>
      </c>
      <c r="E90" s="3" t="s">
        <v>318</v>
      </c>
      <c r="F90">
        <v>6.1</v>
      </c>
      <c r="G90">
        <v>3.57</v>
      </c>
      <c r="H90">
        <v>14702.5133667337</v>
      </c>
      <c r="I90">
        <v>7184.7734227699802</v>
      </c>
      <c r="J90">
        <v>0.84401532523895995</v>
      </c>
      <c r="K90">
        <v>2.4756108328544899</v>
      </c>
      <c r="L90">
        <v>166.66666666666634</v>
      </c>
      <c r="M90">
        <v>89.635854341734785</v>
      </c>
      <c r="N90" s="2"/>
      <c r="O90" s="2"/>
      <c r="P90" s="2">
        <v>7.08</v>
      </c>
      <c r="Q90">
        <v>95.989199999999997</v>
      </c>
      <c r="R90">
        <v>162.25559999999999</v>
      </c>
      <c r="S90">
        <v>916.66729999999995</v>
      </c>
      <c r="T90">
        <v>9.4490999999999996</v>
      </c>
      <c r="U90">
        <v>521</v>
      </c>
      <c r="V90">
        <f t="shared" si="1"/>
        <v>0.56836324367630442</v>
      </c>
      <c r="W90">
        <v>8.5116220338983055</v>
      </c>
    </row>
    <row r="91" spans="1:23" x14ac:dyDescent="0.35">
      <c r="A91" s="2" t="s">
        <v>29</v>
      </c>
      <c r="B91" s="3" t="s">
        <v>304</v>
      </c>
      <c r="C91" s="3" t="s">
        <v>322</v>
      </c>
      <c r="D91" s="3" t="s">
        <v>314</v>
      </c>
      <c r="E91" s="3" t="s">
        <v>318</v>
      </c>
      <c r="F91">
        <v>5.38</v>
      </c>
      <c r="G91">
        <v>3.59</v>
      </c>
      <c r="H91">
        <v>17926.312214711601</v>
      </c>
      <c r="I91">
        <v>6170.3394849834103</v>
      </c>
      <c r="J91">
        <v>0.81447816854222699</v>
      </c>
      <c r="K91">
        <v>2.6083842655657299</v>
      </c>
      <c r="L91">
        <v>185.23676880222621</v>
      </c>
      <c r="M91">
        <v>104.45682451253482</v>
      </c>
      <c r="N91" s="2"/>
      <c r="O91" s="2"/>
    </row>
    <row r="92" spans="1:23" x14ac:dyDescent="0.35">
      <c r="A92" s="2" t="s">
        <v>166</v>
      </c>
      <c r="B92" s="3" t="s">
        <v>304</v>
      </c>
      <c r="C92" s="3" t="s">
        <v>323</v>
      </c>
      <c r="D92" s="3" t="s">
        <v>314</v>
      </c>
      <c r="E92" s="3" t="s">
        <v>318</v>
      </c>
      <c r="F92">
        <v>5.76</v>
      </c>
      <c r="G92">
        <v>3.55</v>
      </c>
      <c r="H92">
        <v>13967.949749150201</v>
      </c>
      <c r="I92">
        <v>4549.8676347834898</v>
      </c>
      <c r="J92">
        <v>0.84643862817225202</v>
      </c>
      <c r="K92">
        <v>2.44052008398236</v>
      </c>
      <c r="L92">
        <v>311.26760563380793</v>
      </c>
      <c r="M92">
        <v>263.38028169014149</v>
      </c>
      <c r="N92" s="2"/>
      <c r="O92" s="2"/>
    </row>
    <row r="93" spans="1:23" x14ac:dyDescent="0.35">
      <c r="A93" s="2" t="s">
        <v>167</v>
      </c>
      <c r="B93" s="3" t="s">
        <v>304</v>
      </c>
      <c r="C93" s="3" t="s">
        <v>323</v>
      </c>
      <c r="D93" s="3" t="s">
        <v>314</v>
      </c>
      <c r="E93" s="3" t="s">
        <v>318</v>
      </c>
      <c r="F93">
        <v>4.03</v>
      </c>
      <c r="G93">
        <v>2.62</v>
      </c>
      <c r="H93">
        <v>8620.3333916442007</v>
      </c>
      <c r="I93">
        <v>4711.0494483247803</v>
      </c>
      <c r="J93">
        <v>0.76055126337666001</v>
      </c>
      <c r="K93">
        <v>3.4861114327271001</v>
      </c>
      <c r="L93">
        <v>328.24427480916552</v>
      </c>
      <c r="M93">
        <v>383.58778625954022</v>
      </c>
      <c r="N93" s="2"/>
      <c r="O93" s="2"/>
    </row>
    <row r="94" spans="1:23" x14ac:dyDescent="0.35">
      <c r="A94" s="2" t="s">
        <v>168</v>
      </c>
      <c r="B94" s="3" t="s">
        <v>304</v>
      </c>
      <c r="C94" s="3" t="s">
        <v>323</v>
      </c>
      <c r="D94" s="3" t="s">
        <v>314</v>
      </c>
      <c r="E94" s="3" t="s">
        <v>318</v>
      </c>
      <c r="F94">
        <v>5.81</v>
      </c>
      <c r="G94">
        <v>3.84</v>
      </c>
      <c r="H94">
        <v>11229.7062754034</v>
      </c>
      <c r="I94">
        <v>3810.0424727758</v>
      </c>
      <c r="J94">
        <v>0.84399532499936902</v>
      </c>
      <c r="K94">
        <v>2.2280556294455498</v>
      </c>
      <c r="L94">
        <v>188.80208333333186</v>
      </c>
      <c r="M94">
        <v>220.05208333333306</v>
      </c>
      <c r="N94" s="2">
        <v>-0.55099999999999993</v>
      </c>
      <c r="O94" s="2">
        <v>-0.60799999999999998</v>
      </c>
      <c r="P94" s="2">
        <v>3.36</v>
      </c>
      <c r="Q94">
        <v>51.420299999999997</v>
      </c>
      <c r="R94">
        <v>54.458808197414875</v>
      </c>
      <c r="S94">
        <v>395.84570000000002</v>
      </c>
      <c r="T94">
        <v>4.1254</v>
      </c>
      <c r="U94">
        <v>290</v>
      </c>
      <c r="V94">
        <f t="shared" si="1"/>
        <v>0.73260869070953649</v>
      </c>
      <c r="W94">
        <v>7.1064535714285713</v>
      </c>
    </row>
    <row r="95" spans="1:23" x14ac:dyDescent="0.35">
      <c r="A95" s="2" t="s">
        <v>169</v>
      </c>
      <c r="B95" s="3" t="s">
        <v>304</v>
      </c>
      <c r="C95" s="3" t="s">
        <v>323</v>
      </c>
      <c r="D95" s="3" t="s">
        <v>314</v>
      </c>
      <c r="E95" s="3" t="s">
        <v>318</v>
      </c>
      <c r="F95">
        <v>6.65</v>
      </c>
      <c r="G95">
        <v>4.49</v>
      </c>
      <c r="H95">
        <v>13155.847019619099</v>
      </c>
      <c r="I95">
        <v>7457.5730099993098</v>
      </c>
      <c r="J95">
        <v>0.69261966215247595</v>
      </c>
      <c r="K95">
        <v>3.3572609834312299</v>
      </c>
      <c r="L95">
        <v>247.2160356347469</v>
      </c>
      <c r="M95">
        <v>280.62360801782165</v>
      </c>
      <c r="N95" s="2"/>
      <c r="O95" s="2"/>
    </row>
    <row r="96" spans="1:23" x14ac:dyDescent="0.35">
      <c r="A96" s="2" t="s">
        <v>170</v>
      </c>
      <c r="B96" s="3" t="s">
        <v>304</v>
      </c>
      <c r="C96" s="3" t="s">
        <v>323</v>
      </c>
      <c r="D96" s="3" t="s">
        <v>314</v>
      </c>
      <c r="E96" s="3" t="s">
        <v>318</v>
      </c>
      <c r="F96">
        <v>5.9399999999999995</v>
      </c>
      <c r="G96">
        <v>3.98</v>
      </c>
      <c r="H96">
        <v>12732.1724297198</v>
      </c>
      <c r="I96">
        <v>5244.6851372916799</v>
      </c>
      <c r="J96">
        <v>0.77845575282622104</v>
      </c>
      <c r="K96">
        <v>3.5017446108301402</v>
      </c>
      <c r="L96">
        <v>208.54271356783519</v>
      </c>
      <c r="M96">
        <v>247.48743718592593</v>
      </c>
      <c r="N96" s="2"/>
      <c r="O96" s="2"/>
    </row>
    <row r="97" spans="1:23" x14ac:dyDescent="0.35">
      <c r="A97" s="2" t="s">
        <v>171</v>
      </c>
      <c r="B97" s="3" t="s">
        <v>304</v>
      </c>
      <c r="C97" s="3" t="s">
        <v>323</v>
      </c>
      <c r="D97" s="3" t="s">
        <v>314</v>
      </c>
      <c r="E97" s="3" t="s">
        <v>318</v>
      </c>
      <c r="F97">
        <v>6.2</v>
      </c>
      <c r="G97">
        <v>4.33</v>
      </c>
      <c r="H97">
        <v>18632.2931507742</v>
      </c>
      <c r="I97">
        <v>5725.4654156079596</v>
      </c>
      <c r="J97">
        <v>0.78124003880504</v>
      </c>
      <c r="K97">
        <v>2.4840979816499802</v>
      </c>
      <c r="L97">
        <v>277.13625866050546</v>
      </c>
      <c r="M97">
        <v>311.7782909930703</v>
      </c>
      <c r="N97" s="2"/>
      <c r="O97" s="2"/>
      <c r="P97" s="2">
        <v>7.24</v>
      </c>
      <c r="Q97">
        <v>94.423400000000001</v>
      </c>
      <c r="R97">
        <v>77.577170841261349</v>
      </c>
      <c r="S97">
        <v>474.69869999999997</v>
      </c>
      <c r="T97">
        <v>6.7321</v>
      </c>
      <c r="U97">
        <v>472</v>
      </c>
      <c r="V97">
        <f t="shared" si="1"/>
        <v>0.9943149201798952</v>
      </c>
      <c r="W97">
        <v>4.4452441988950264</v>
      </c>
    </row>
    <row r="98" spans="1:23" x14ac:dyDescent="0.35">
      <c r="A98" s="2" t="s">
        <v>172</v>
      </c>
      <c r="B98" s="3" t="s">
        <v>304</v>
      </c>
      <c r="C98" s="3" t="s">
        <v>323</v>
      </c>
      <c r="D98" s="3" t="s">
        <v>314</v>
      </c>
      <c r="E98" s="3" t="s">
        <v>318</v>
      </c>
      <c r="F98">
        <v>6.34</v>
      </c>
      <c r="G98">
        <v>4.13</v>
      </c>
      <c r="H98">
        <v>15773.6885713622</v>
      </c>
      <c r="I98">
        <v>5820.1536087621498</v>
      </c>
      <c r="J98">
        <v>0.84451243174878099</v>
      </c>
      <c r="K98">
        <v>2.5413487167250599</v>
      </c>
      <c r="L98">
        <v>232.44552058111574</v>
      </c>
      <c r="M98">
        <v>318.40193704600432</v>
      </c>
      <c r="N98" s="2">
        <v>-0.33399999999999996</v>
      </c>
      <c r="O98" s="2">
        <v>-0.47300000000000003</v>
      </c>
      <c r="P98" s="2">
        <v>6.08</v>
      </c>
    </row>
    <row r="99" spans="1:23" x14ac:dyDescent="0.35">
      <c r="A99" s="2" t="s">
        <v>173</v>
      </c>
      <c r="B99" s="3" t="s">
        <v>304</v>
      </c>
      <c r="C99" s="3" t="s">
        <v>323</v>
      </c>
      <c r="D99" s="3" t="s">
        <v>314</v>
      </c>
      <c r="E99" s="3" t="s">
        <v>318</v>
      </c>
      <c r="F99">
        <v>5.8000000000000007</v>
      </c>
      <c r="G99">
        <v>3.97</v>
      </c>
      <c r="H99">
        <v>13991.130805610101</v>
      </c>
      <c r="I99">
        <v>5035.3354864398398</v>
      </c>
      <c r="J99">
        <v>0.83726750759513502</v>
      </c>
      <c r="K99">
        <v>2.1105147792142702</v>
      </c>
      <c r="L99">
        <v>190.17632241813487</v>
      </c>
      <c r="M99">
        <v>279.59697732997824</v>
      </c>
      <c r="N99" s="2"/>
      <c r="O99" s="2"/>
      <c r="P99" s="2">
        <v>4.76</v>
      </c>
    </row>
    <row r="100" spans="1:23" x14ac:dyDescent="0.35">
      <c r="A100" s="2" t="s">
        <v>174</v>
      </c>
      <c r="B100" s="3" t="s">
        <v>304</v>
      </c>
      <c r="C100" s="3" t="s">
        <v>323</v>
      </c>
      <c r="D100" s="3" t="s">
        <v>314</v>
      </c>
      <c r="E100" s="3" t="s">
        <v>318</v>
      </c>
      <c r="F100">
        <v>5.32</v>
      </c>
      <c r="G100">
        <v>3.29</v>
      </c>
      <c r="H100">
        <v>12081.862193721799</v>
      </c>
      <c r="I100">
        <v>4702.4217080301596</v>
      </c>
      <c r="J100">
        <v>0.84131574717007995</v>
      </c>
      <c r="K100">
        <v>2.4867914519460901</v>
      </c>
      <c r="L100">
        <v>305.47112462005941</v>
      </c>
      <c r="M100">
        <v>393.61702127659191</v>
      </c>
      <c r="N100" s="2">
        <v>-0.36299999999999999</v>
      </c>
      <c r="O100" s="2">
        <v>-0.33199999999999996</v>
      </c>
    </row>
    <row r="101" spans="1:23" x14ac:dyDescent="0.35">
      <c r="A101" s="2" t="s">
        <v>175</v>
      </c>
      <c r="B101" s="3" t="s">
        <v>304</v>
      </c>
      <c r="C101" s="3" t="s">
        <v>323</v>
      </c>
      <c r="D101" s="3" t="s">
        <v>314</v>
      </c>
      <c r="E101" s="3" t="s">
        <v>318</v>
      </c>
      <c r="F101">
        <v>6.22</v>
      </c>
      <c r="G101">
        <v>4.2699999999999996</v>
      </c>
      <c r="H101">
        <v>20094.709601867598</v>
      </c>
      <c r="I101">
        <v>6327.6899920325104</v>
      </c>
      <c r="J101">
        <v>0.83536440152102798</v>
      </c>
      <c r="K101">
        <v>1.97648744852515</v>
      </c>
      <c r="L101">
        <v>180.32786885246142</v>
      </c>
      <c r="M101">
        <v>215.45667447306502</v>
      </c>
      <c r="N101" s="2"/>
      <c r="O101" s="2"/>
      <c r="P101" s="2">
        <v>5</v>
      </c>
      <c r="Q101">
        <v>54.775300000000001</v>
      </c>
      <c r="R101">
        <v>94.204989338132066</v>
      </c>
      <c r="S101">
        <v>351.77420000000001</v>
      </c>
      <c r="T101">
        <v>4.3685</v>
      </c>
      <c r="U101">
        <v>287</v>
      </c>
      <c r="V101">
        <f t="shared" si="1"/>
        <v>0.81586426747612528</v>
      </c>
      <c r="W101">
        <v>4.8600528000000001</v>
      </c>
    </row>
    <row r="102" spans="1:23" x14ac:dyDescent="0.35">
      <c r="A102" s="2" t="s">
        <v>30</v>
      </c>
      <c r="B102" s="3" t="s">
        <v>305</v>
      </c>
      <c r="C102" s="3" t="s">
        <v>322</v>
      </c>
      <c r="D102" s="3" t="s">
        <v>315</v>
      </c>
      <c r="E102" s="3" t="s">
        <v>318</v>
      </c>
      <c r="F102">
        <v>5.0199999999999996</v>
      </c>
      <c r="G102">
        <v>3.17</v>
      </c>
      <c r="H102">
        <v>12378.221673969399</v>
      </c>
      <c r="I102">
        <v>5745.0229965713797</v>
      </c>
      <c r="J102">
        <v>0.83018003604444501</v>
      </c>
      <c r="K102">
        <v>2.33518398987465</v>
      </c>
      <c r="L102">
        <v>263.40694006308502</v>
      </c>
      <c r="M102">
        <v>138.80126182965677</v>
      </c>
      <c r="N102" s="2">
        <v>-0.98399999999999999</v>
      </c>
      <c r="O102" s="2">
        <v>-0.51700000000000002</v>
      </c>
      <c r="P102" s="2">
        <v>4.3600000000000003</v>
      </c>
      <c r="Q102">
        <v>121.11360000000001</v>
      </c>
      <c r="R102">
        <v>78.1173</v>
      </c>
      <c r="S102">
        <v>636.36080000000004</v>
      </c>
      <c r="T102">
        <v>8.8414000000000001</v>
      </c>
      <c r="U102">
        <v>634</v>
      </c>
      <c r="V102">
        <f t="shared" si="1"/>
        <v>0.99629015489326178</v>
      </c>
      <c r="W102">
        <v>10.451405504587154</v>
      </c>
    </row>
    <row r="103" spans="1:23" x14ac:dyDescent="0.35">
      <c r="A103" s="2" t="s">
        <v>31</v>
      </c>
      <c r="B103" s="3" t="s">
        <v>305</v>
      </c>
      <c r="C103" s="3" t="s">
        <v>322</v>
      </c>
      <c r="D103" s="3" t="s">
        <v>315</v>
      </c>
      <c r="E103" s="3" t="s">
        <v>318</v>
      </c>
      <c r="F103">
        <v>6.4399999999999995</v>
      </c>
      <c r="G103">
        <v>4.26</v>
      </c>
      <c r="H103">
        <v>12179.3856286069</v>
      </c>
      <c r="I103">
        <v>6751.6392901961799</v>
      </c>
      <c r="J103">
        <v>0.51169982052476404</v>
      </c>
      <c r="K103">
        <v>3.4299165300529602</v>
      </c>
      <c r="L103">
        <v>247.65258215962604</v>
      </c>
      <c r="M103">
        <v>191.31455399061315</v>
      </c>
      <c r="N103" s="2"/>
      <c r="O103" s="2"/>
      <c r="P103" s="2">
        <v>6.56</v>
      </c>
      <c r="Q103">
        <v>125.1859</v>
      </c>
      <c r="R103">
        <v>82.958699999999993</v>
      </c>
      <c r="S103">
        <v>667.68960000000004</v>
      </c>
      <c r="T103">
        <v>9.3834999999999997</v>
      </c>
      <c r="U103">
        <v>554</v>
      </c>
      <c r="V103">
        <f t="shared" si="1"/>
        <v>0.82972686709512922</v>
      </c>
      <c r="W103">
        <v>7.4122207317073174</v>
      </c>
    </row>
    <row r="104" spans="1:23" x14ac:dyDescent="0.35">
      <c r="A104" s="2" t="s">
        <v>32</v>
      </c>
      <c r="B104" s="3" t="s">
        <v>305</v>
      </c>
      <c r="C104" s="3" t="s">
        <v>322</v>
      </c>
      <c r="D104" s="3" t="s">
        <v>315</v>
      </c>
      <c r="E104" s="3" t="s">
        <v>318</v>
      </c>
      <c r="F104">
        <v>4.71</v>
      </c>
      <c r="G104">
        <v>2.78</v>
      </c>
      <c r="H104">
        <v>8442.0588009725998</v>
      </c>
      <c r="I104">
        <v>5027.38456602314</v>
      </c>
      <c r="J104">
        <v>0.768202046840602</v>
      </c>
      <c r="K104">
        <v>2.9059394518507302</v>
      </c>
      <c r="L104">
        <v>232.01438848920722</v>
      </c>
      <c r="M104">
        <v>89.928057553956847</v>
      </c>
      <c r="N104" s="2"/>
      <c r="O104" s="2"/>
    </row>
    <row r="105" spans="1:23" x14ac:dyDescent="0.35">
      <c r="A105" s="2" t="s">
        <v>33</v>
      </c>
      <c r="B105" s="3" t="s">
        <v>305</v>
      </c>
      <c r="C105" s="3" t="s">
        <v>322</v>
      </c>
      <c r="D105" s="3" t="s">
        <v>315</v>
      </c>
      <c r="E105" s="3" t="s">
        <v>318</v>
      </c>
      <c r="F105">
        <v>7.120000000000001</v>
      </c>
      <c r="G105">
        <v>4.7300000000000004</v>
      </c>
      <c r="H105">
        <v>18413.686475901301</v>
      </c>
      <c r="I105">
        <v>5515.9003501746502</v>
      </c>
      <c r="J105">
        <v>0.81210760834354201</v>
      </c>
      <c r="K105">
        <v>2.26931636844377</v>
      </c>
      <c r="L105">
        <v>238.90063424947047</v>
      </c>
      <c r="M105">
        <v>217.7589852008459</v>
      </c>
      <c r="N105" s="2"/>
      <c r="O105" s="2"/>
      <c r="P105" s="2">
        <v>2.84</v>
      </c>
    </row>
    <row r="106" spans="1:23" x14ac:dyDescent="0.35">
      <c r="A106" s="2" t="s">
        <v>34</v>
      </c>
      <c r="B106" s="3" t="s">
        <v>305</v>
      </c>
      <c r="C106" s="3" t="s">
        <v>322</v>
      </c>
      <c r="D106" s="3" t="s">
        <v>315</v>
      </c>
      <c r="E106" s="3" t="s">
        <v>318</v>
      </c>
      <c r="F106">
        <v>6.85</v>
      </c>
      <c r="G106">
        <v>3.87</v>
      </c>
      <c r="H106">
        <v>18448.708733891301</v>
      </c>
      <c r="I106">
        <v>5519.8317133753299</v>
      </c>
      <c r="J106">
        <v>0.83621697897495995</v>
      </c>
      <c r="K106">
        <v>2.3657105379394299</v>
      </c>
      <c r="L106">
        <v>244.1860465116298</v>
      </c>
      <c r="M106">
        <v>186.04651162790668</v>
      </c>
      <c r="N106" s="2"/>
      <c r="O106" s="2"/>
      <c r="P106" s="2">
        <v>7.28</v>
      </c>
    </row>
    <row r="107" spans="1:23" x14ac:dyDescent="0.35">
      <c r="A107" s="2" t="s">
        <v>35</v>
      </c>
      <c r="B107" s="3" t="s">
        <v>305</v>
      </c>
      <c r="C107" s="3" t="s">
        <v>322</v>
      </c>
      <c r="D107" s="3" t="s">
        <v>315</v>
      </c>
      <c r="E107" s="3" t="s">
        <v>318</v>
      </c>
      <c r="F107">
        <v>5.26</v>
      </c>
      <c r="G107">
        <v>3.47</v>
      </c>
      <c r="H107">
        <v>13046.2430013719</v>
      </c>
      <c r="I107">
        <v>6639.1016688431901</v>
      </c>
      <c r="J107">
        <v>0.85141055477235295</v>
      </c>
      <c r="K107">
        <v>2.5823025704567</v>
      </c>
      <c r="L107">
        <v>240.63400576368696</v>
      </c>
      <c r="M107">
        <v>146.97406340057785</v>
      </c>
      <c r="N107" s="2"/>
      <c r="O107" s="2"/>
    </row>
    <row r="108" spans="1:23" x14ac:dyDescent="0.35">
      <c r="A108" s="2" t="s">
        <v>36</v>
      </c>
      <c r="B108" s="3" t="s">
        <v>305</v>
      </c>
      <c r="C108" s="3" t="s">
        <v>322</v>
      </c>
      <c r="D108" s="3" t="s">
        <v>315</v>
      </c>
      <c r="E108" s="3" t="s">
        <v>318</v>
      </c>
      <c r="F108">
        <v>4.8499999999999996</v>
      </c>
      <c r="G108">
        <v>3.16</v>
      </c>
      <c r="H108">
        <v>11625.1866396719</v>
      </c>
      <c r="I108">
        <v>4379.7845264223397</v>
      </c>
      <c r="J108">
        <v>0.82564743704619603</v>
      </c>
      <c r="K108">
        <v>2.5030070075600799</v>
      </c>
      <c r="L108">
        <v>249.99999999999747</v>
      </c>
      <c r="M108">
        <v>126.58227848100995</v>
      </c>
      <c r="N108" s="2">
        <v>-0.97599999999999998</v>
      </c>
      <c r="O108" s="2">
        <v>-0.56399999999999995</v>
      </c>
    </row>
    <row r="109" spans="1:23" x14ac:dyDescent="0.35">
      <c r="A109" s="2" t="s">
        <v>37</v>
      </c>
      <c r="B109" s="3" t="s">
        <v>305</v>
      </c>
      <c r="C109" s="3" t="s">
        <v>322</v>
      </c>
      <c r="D109" s="3" t="s">
        <v>315</v>
      </c>
      <c r="E109" s="3" t="s">
        <v>318</v>
      </c>
      <c r="F109">
        <v>6.0600000000000005</v>
      </c>
      <c r="G109">
        <v>3.65</v>
      </c>
      <c r="H109">
        <v>11042.2355066773</v>
      </c>
      <c r="I109">
        <v>5130.4119514349104</v>
      </c>
      <c r="J109">
        <v>0.79472012350927401</v>
      </c>
      <c r="K109">
        <v>3.1027651087211199</v>
      </c>
      <c r="L109">
        <v>245.2054794520576</v>
      </c>
      <c r="M109">
        <v>163.01369863013667</v>
      </c>
      <c r="N109" s="2">
        <v>-0.93100000000000005</v>
      </c>
      <c r="O109" s="2">
        <v>-0.48299999999999998</v>
      </c>
    </row>
    <row r="110" spans="1:23" x14ac:dyDescent="0.35">
      <c r="A110" s="2" t="s">
        <v>38</v>
      </c>
      <c r="B110" s="3" t="s">
        <v>305</v>
      </c>
      <c r="C110" s="3" t="s">
        <v>322</v>
      </c>
      <c r="D110" s="3" t="s">
        <v>315</v>
      </c>
      <c r="E110" s="3" t="s">
        <v>318</v>
      </c>
      <c r="F110">
        <v>4.87</v>
      </c>
      <c r="G110">
        <v>3.11</v>
      </c>
      <c r="H110">
        <v>10761.4925676286</v>
      </c>
      <c r="I110">
        <v>4226.6548388015599</v>
      </c>
      <c r="J110">
        <v>0.82425845623973504</v>
      </c>
      <c r="K110">
        <v>2.2053469884666201</v>
      </c>
      <c r="L110">
        <v>237.94212218649355</v>
      </c>
      <c r="M110">
        <v>81.993569131835912</v>
      </c>
      <c r="N110" s="2"/>
      <c r="O110" s="2"/>
    </row>
    <row r="111" spans="1:23" x14ac:dyDescent="0.35">
      <c r="A111" s="2" t="s">
        <v>39</v>
      </c>
      <c r="B111" s="3" t="s">
        <v>305</v>
      </c>
      <c r="C111" s="3" t="s">
        <v>322</v>
      </c>
      <c r="D111" s="3" t="s">
        <v>315</v>
      </c>
      <c r="E111" s="3" t="s">
        <v>318</v>
      </c>
      <c r="F111">
        <v>5.7</v>
      </c>
      <c r="G111">
        <v>3.66</v>
      </c>
      <c r="H111">
        <v>14846.613012108601</v>
      </c>
      <c r="I111">
        <v>4679.1585591631101</v>
      </c>
      <c r="J111">
        <v>0.838188571518799</v>
      </c>
      <c r="K111">
        <v>2.2708609498429899</v>
      </c>
      <c r="L111">
        <v>251.36612021857582</v>
      </c>
      <c r="M111">
        <v>172.13114754098237</v>
      </c>
      <c r="N111" s="2"/>
      <c r="O111" s="2"/>
      <c r="P111" s="2">
        <v>5.56</v>
      </c>
      <c r="Q111">
        <v>134.751</v>
      </c>
      <c r="R111">
        <v>175.42410000000001</v>
      </c>
      <c r="S111">
        <v>1003.77</v>
      </c>
      <c r="T111">
        <v>13.2997</v>
      </c>
      <c r="U111">
        <v>496</v>
      </c>
      <c r="V111">
        <f t="shared" si="1"/>
        <v>0.49413710312123293</v>
      </c>
      <c r="W111">
        <v>10.763270503597123</v>
      </c>
    </row>
    <row r="112" spans="1:23" x14ac:dyDescent="0.35">
      <c r="A112" s="2" t="s">
        <v>176</v>
      </c>
      <c r="B112" s="3" t="s">
        <v>305</v>
      </c>
      <c r="C112" s="3" t="s">
        <v>323</v>
      </c>
      <c r="D112" s="3" t="s">
        <v>315</v>
      </c>
      <c r="E112" s="3" t="s">
        <v>318</v>
      </c>
      <c r="F112">
        <v>6.38</v>
      </c>
      <c r="G112">
        <v>4.26</v>
      </c>
      <c r="H112">
        <v>14977.4711320352</v>
      </c>
      <c r="I112">
        <v>6473.8354386405999</v>
      </c>
      <c r="J112">
        <v>0.83883149568077198</v>
      </c>
      <c r="K112">
        <v>2.4357371898908</v>
      </c>
      <c r="L112">
        <v>201.87793427230369</v>
      </c>
      <c r="M112">
        <v>206.5727699530506</v>
      </c>
      <c r="N112" s="2">
        <v>-0.51800000000000002</v>
      </c>
      <c r="O112" s="2">
        <v>-0.56699999999999995</v>
      </c>
      <c r="P112" s="2">
        <v>4.88</v>
      </c>
      <c r="Q112">
        <v>32.159599999999998</v>
      </c>
      <c r="R112">
        <v>43.81670663431872</v>
      </c>
      <c r="S112">
        <v>589.23450000000003</v>
      </c>
      <c r="T112">
        <v>3.1972999999999998</v>
      </c>
      <c r="U112">
        <v>197</v>
      </c>
      <c r="V112">
        <f t="shared" si="1"/>
        <v>0.33433208680075588</v>
      </c>
      <c r="W112">
        <v>4.9477450819672137</v>
      </c>
    </row>
    <row r="113" spans="1:23" x14ac:dyDescent="0.35">
      <c r="A113" s="2" t="s">
        <v>177</v>
      </c>
      <c r="B113" s="3" t="s">
        <v>305</v>
      </c>
      <c r="C113" s="3" t="s">
        <v>323</v>
      </c>
      <c r="D113" s="3" t="s">
        <v>315</v>
      </c>
      <c r="E113" s="3" t="s">
        <v>318</v>
      </c>
      <c r="F113">
        <v>6.34</v>
      </c>
      <c r="G113">
        <v>4.08</v>
      </c>
      <c r="H113">
        <v>13663.030111526299</v>
      </c>
      <c r="I113">
        <v>5818.3382041005398</v>
      </c>
      <c r="J113">
        <v>0.83509636965225298</v>
      </c>
      <c r="K113">
        <v>2.5551298348626199</v>
      </c>
      <c r="L113">
        <v>274.50980392156976</v>
      </c>
      <c r="M113">
        <v>321.07843137254957</v>
      </c>
      <c r="N113" s="2"/>
      <c r="O113" s="2"/>
    </row>
    <row r="114" spans="1:23" x14ac:dyDescent="0.35">
      <c r="A114" s="2" t="s">
        <v>178</v>
      </c>
      <c r="B114" s="3" t="s">
        <v>305</v>
      </c>
      <c r="C114" s="3" t="s">
        <v>323</v>
      </c>
      <c r="D114" s="3" t="s">
        <v>315</v>
      </c>
      <c r="E114" s="3" t="s">
        <v>318</v>
      </c>
      <c r="F114">
        <v>6.51</v>
      </c>
      <c r="G114">
        <v>3.95</v>
      </c>
      <c r="H114">
        <v>12729.404541588299</v>
      </c>
      <c r="I114">
        <v>4906.7958131847199</v>
      </c>
      <c r="J114">
        <v>0.83862296432111705</v>
      </c>
      <c r="K114">
        <v>2.4111890908604101</v>
      </c>
      <c r="L114">
        <v>211.39240506328596</v>
      </c>
      <c r="M114">
        <v>267.08860759493842</v>
      </c>
      <c r="N114" s="2"/>
      <c r="O114" s="2"/>
    </row>
    <row r="115" spans="1:23" x14ac:dyDescent="0.35">
      <c r="A115" s="2" t="s">
        <v>179</v>
      </c>
      <c r="B115" s="3" t="s">
        <v>305</v>
      </c>
      <c r="C115" s="3" t="s">
        <v>323</v>
      </c>
      <c r="D115" s="3" t="s">
        <v>315</v>
      </c>
      <c r="E115" s="3" t="s">
        <v>318</v>
      </c>
      <c r="F115">
        <v>5.05</v>
      </c>
      <c r="G115">
        <v>3.19</v>
      </c>
      <c r="H115">
        <v>11565.705288601799</v>
      </c>
      <c r="I115">
        <v>4335.8213900038199</v>
      </c>
      <c r="J115">
        <v>0.825415255764819</v>
      </c>
      <c r="K115">
        <v>2.4418567578072401</v>
      </c>
      <c r="L115">
        <v>213.16614420062018</v>
      </c>
      <c r="M115">
        <v>315.04702194357225</v>
      </c>
      <c r="N115" s="2"/>
      <c r="O115" s="2"/>
    </row>
    <row r="116" spans="1:23" x14ac:dyDescent="0.35">
      <c r="A116" s="2" t="s">
        <v>180</v>
      </c>
      <c r="B116" s="3" t="s">
        <v>305</v>
      </c>
      <c r="C116" s="3" t="s">
        <v>323</v>
      </c>
      <c r="D116" s="3" t="s">
        <v>315</v>
      </c>
      <c r="E116" s="3" t="s">
        <v>318</v>
      </c>
      <c r="F116">
        <v>4.8600000000000003</v>
      </c>
      <c r="G116">
        <v>2.88</v>
      </c>
      <c r="H116">
        <v>12060.8748265699</v>
      </c>
      <c r="I116">
        <v>8048.2463099230499</v>
      </c>
      <c r="J116">
        <v>0.851595029885859</v>
      </c>
      <c r="K116">
        <v>2.2315704905151201</v>
      </c>
      <c r="L116">
        <v>310.76388888889244</v>
      </c>
      <c r="M116">
        <v>314.23611111111154</v>
      </c>
      <c r="N116" s="2"/>
      <c r="O116" s="2"/>
    </row>
    <row r="117" spans="1:23" x14ac:dyDescent="0.35">
      <c r="A117" s="2" t="s">
        <v>181</v>
      </c>
      <c r="B117" s="3" t="s">
        <v>305</v>
      </c>
      <c r="C117" s="3" t="s">
        <v>323</v>
      </c>
      <c r="D117" s="3" t="s">
        <v>315</v>
      </c>
      <c r="E117" s="3" t="s">
        <v>318</v>
      </c>
      <c r="F117">
        <v>5.41</v>
      </c>
      <c r="G117">
        <v>3.71</v>
      </c>
      <c r="H117">
        <v>10820.239581031101</v>
      </c>
      <c r="I117">
        <v>5777.1421595911097</v>
      </c>
      <c r="J117">
        <v>0.848994322373545</v>
      </c>
      <c r="K117">
        <v>2.0327549073620399</v>
      </c>
      <c r="L117">
        <v>230.45822102426368</v>
      </c>
      <c r="M117">
        <v>273.58490566038137</v>
      </c>
      <c r="N117" s="2">
        <v>-0.42199999999999999</v>
      </c>
      <c r="O117" s="2">
        <v>-0.54100000000000004</v>
      </c>
      <c r="P117" s="2">
        <v>5.72</v>
      </c>
      <c r="Q117">
        <v>39.6252</v>
      </c>
      <c r="R117">
        <v>30.333738119542268</v>
      </c>
      <c r="S117">
        <v>363.52820000000003</v>
      </c>
      <c r="T117">
        <v>3.2532999999999999</v>
      </c>
      <c r="U117">
        <v>241</v>
      </c>
      <c r="V117">
        <f t="shared" si="1"/>
        <v>0.66294719364274901</v>
      </c>
      <c r="W117">
        <v>3.7804300699300701</v>
      </c>
    </row>
    <row r="118" spans="1:23" x14ac:dyDescent="0.35">
      <c r="A118" s="2" t="s">
        <v>182</v>
      </c>
      <c r="B118" s="3" t="s">
        <v>305</v>
      </c>
      <c r="C118" s="3" t="s">
        <v>323</v>
      </c>
      <c r="D118" s="3" t="s">
        <v>315</v>
      </c>
      <c r="E118" s="3" t="s">
        <v>318</v>
      </c>
      <c r="F118">
        <v>4.8</v>
      </c>
      <c r="G118">
        <v>3.32</v>
      </c>
      <c r="H118">
        <v>11347.4375388062</v>
      </c>
      <c r="I118">
        <v>4984.4898517742904</v>
      </c>
      <c r="J118">
        <v>0.83691446712515005</v>
      </c>
      <c r="K118">
        <v>2.4193195174454698</v>
      </c>
      <c r="L118">
        <v>329.81927710843343</v>
      </c>
      <c r="M118">
        <v>222.89156626506298</v>
      </c>
      <c r="N118" s="2"/>
      <c r="O118" s="2"/>
      <c r="P118" s="2">
        <v>5.84</v>
      </c>
    </row>
    <row r="119" spans="1:23" x14ac:dyDescent="0.35">
      <c r="A119" s="2" t="s">
        <v>183</v>
      </c>
      <c r="B119" s="3" t="s">
        <v>305</v>
      </c>
      <c r="C119" s="3" t="s">
        <v>323</v>
      </c>
      <c r="D119" s="3" t="s">
        <v>315</v>
      </c>
      <c r="E119" s="3" t="s">
        <v>318</v>
      </c>
      <c r="F119">
        <v>4.79</v>
      </c>
      <c r="G119">
        <v>3.22</v>
      </c>
      <c r="H119">
        <v>10654.6181932462</v>
      </c>
      <c r="I119">
        <v>5424.4230901369301</v>
      </c>
      <c r="J119">
        <v>0.844858533962494</v>
      </c>
      <c r="K119">
        <v>2.0727449837524601</v>
      </c>
      <c r="L119">
        <v>242.23602484472084</v>
      </c>
      <c r="M119">
        <v>312.11180124223461</v>
      </c>
      <c r="N119" s="2"/>
      <c r="O119" s="2"/>
    </row>
    <row r="120" spans="1:23" x14ac:dyDescent="0.35">
      <c r="A120" s="2" t="s">
        <v>184</v>
      </c>
      <c r="B120" s="3" t="s">
        <v>305</v>
      </c>
      <c r="C120" s="3" t="s">
        <v>323</v>
      </c>
      <c r="D120" s="3" t="s">
        <v>315</v>
      </c>
      <c r="E120" s="3" t="s">
        <v>318</v>
      </c>
      <c r="F120">
        <v>5.0999999999999996</v>
      </c>
      <c r="G120">
        <v>3.68</v>
      </c>
      <c r="H120">
        <v>10113.484500794</v>
      </c>
      <c r="I120">
        <v>6241.7793986629104</v>
      </c>
      <c r="J120">
        <v>0.83515414191255599</v>
      </c>
      <c r="K120">
        <v>2.1612894523688002</v>
      </c>
      <c r="L120">
        <v>183.42391304348135</v>
      </c>
      <c r="M120">
        <v>217.39130434782143</v>
      </c>
      <c r="N120" s="2"/>
      <c r="O120" s="2"/>
      <c r="P120" s="2">
        <v>3.6</v>
      </c>
    </row>
    <row r="121" spans="1:23" x14ac:dyDescent="0.35">
      <c r="A121" s="2" t="s">
        <v>185</v>
      </c>
      <c r="B121" s="3" t="s">
        <v>305</v>
      </c>
      <c r="C121" s="3" t="s">
        <v>323</v>
      </c>
      <c r="D121" s="3" t="s">
        <v>315</v>
      </c>
      <c r="E121" s="3" t="s">
        <v>318</v>
      </c>
      <c r="F121">
        <v>4.92</v>
      </c>
      <c r="G121">
        <v>3.42</v>
      </c>
      <c r="H121">
        <v>14193.483157750799</v>
      </c>
      <c r="I121">
        <v>5518.1816098710597</v>
      </c>
      <c r="J121">
        <v>0.83429993138406</v>
      </c>
      <c r="K121">
        <v>1.9036593169131999</v>
      </c>
      <c r="L121">
        <v>285.08771929824394</v>
      </c>
      <c r="M121">
        <v>369.88304093567683</v>
      </c>
      <c r="N121" s="2">
        <v>-0.38900000000000001</v>
      </c>
      <c r="O121" s="2">
        <v>-0.64500000000000002</v>
      </c>
      <c r="P121" s="2">
        <v>5.92</v>
      </c>
      <c r="Q121">
        <v>61.162700000000001</v>
      </c>
      <c r="R121">
        <v>38.821274319760022</v>
      </c>
      <c r="S121">
        <v>317.91629999999998</v>
      </c>
      <c r="T121">
        <v>5.4974999999999996</v>
      </c>
      <c r="U121">
        <v>172</v>
      </c>
      <c r="V121">
        <f t="shared" si="1"/>
        <v>0.54102290445629875</v>
      </c>
      <c r="W121">
        <v>3.5803540540540539</v>
      </c>
    </row>
    <row r="122" spans="1:23" x14ac:dyDescent="0.35">
      <c r="A122" s="2" t="s">
        <v>40</v>
      </c>
      <c r="B122" s="3" t="s">
        <v>306</v>
      </c>
      <c r="C122" s="3" t="s">
        <v>322</v>
      </c>
      <c r="D122" s="3" t="s">
        <v>316</v>
      </c>
      <c r="E122" s="3" t="s">
        <v>317</v>
      </c>
      <c r="F122">
        <v>5.92</v>
      </c>
      <c r="G122">
        <v>3.79</v>
      </c>
      <c r="H122">
        <v>17964.1782613375</v>
      </c>
      <c r="I122">
        <v>6850.6257875694</v>
      </c>
      <c r="J122">
        <v>0.81728572453881898</v>
      </c>
      <c r="K122">
        <v>2.1881275686388402</v>
      </c>
      <c r="L122">
        <v>236.14775725593938</v>
      </c>
      <c r="M122">
        <v>196.56992084432838</v>
      </c>
      <c r="N122" s="2"/>
      <c r="O122" s="2"/>
      <c r="P122" s="2">
        <v>6.64</v>
      </c>
      <c r="Q122">
        <v>160.36259999999999</v>
      </c>
      <c r="R122">
        <v>147.76179999999999</v>
      </c>
      <c r="S122">
        <v>1080.8804</v>
      </c>
      <c r="T122">
        <v>15.327999999999999</v>
      </c>
      <c r="U122">
        <v>679</v>
      </c>
      <c r="V122">
        <f t="shared" si="1"/>
        <v>0.62819161120878864</v>
      </c>
      <c r="W122">
        <v>10.46104156626506</v>
      </c>
    </row>
    <row r="123" spans="1:23" x14ac:dyDescent="0.35">
      <c r="A123" s="2" t="s">
        <v>41</v>
      </c>
      <c r="B123" s="3" t="s">
        <v>306</v>
      </c>
      <c r="C123" s="3" t="s">
        <v>322</v>
      </c>
      <c r="D123" s="3" t="s">
        <v>316</v>
      </c>
      <c r="E123" s="3" t="s">
        <v>317</v>
      </c>
      <c r="F123">
        <v>5.24</v>
      </c>
      <c r="G123">
        <v>3.47</v>
      </c>
      <c r="H123">
        <v>11156.2728672539</v>
      </c>
      <c r="I123">
        <v>4377.9680988099899</v>
      </c>
      <c r="J123">
        <v>0.80557992536123602</v>
      </c>
      <c r="K123">
        <v>2.5810965967326198</v>
      </c>
      <c r="L123">
        <v>211.81556195965399</v>
      </c>
      <c r="M123">
        <v>167.14697406340008</v>
      </c>
      <c r="N123" s="2"/>
      <c r="O123" s="2"/>
    </row>
    <row r="124" spans="1:23" x14ac:dyDescent="0.35">
      <c r="A124" s="2" t="s">
        <v>42</v>
      </c>
      <c r="B124" s="3" t="s">
        <v>306</v>
      </c>
      <c r="C124" s="3" t="s">
        <v>322</v>
      </c>
      <c r="D124" s="3" t="s">
        <v>316</v>
      </c>
      <c r="E124" s="3" t="s">
        <v>317</v>
      </c>
      <c r="F124">
        <v>5.47</v>
      </c>
      <c r="G124">
        <v>3.62</v>
      </c>
      <c r="H124">
        <v>13253.399650491599</v>
      </c>
      <c r="I124">
        <v>5910.1536145043001</v>
      </c>
      <c r="J124">
        <v>0.84120398568657195</v>
      </c>
      <c r="K124">
        <v>2.5116641202062899</v>
      </c>
      <c r="L124">
        <v>207.18232044198894</v>
      </c>
      <c r="M124">
        <v>179.55801104972139</v>
      </c>
      <c r="N124" s="2"/>
      <c r="O124" s="2"/>
      <c r="P124" s="2">
        <v>4.4400000000000004</v>
      </c>
      <c r="Q124">
        <v>77.657399999999996</v>
      </c>
      <c r="R124">
        <v>62.515999999999998</v>
      </c>
      <c r="S124">
        <v>594.28489999999999</v>
      </c>
      <c r="T124">
        <v>6.2244999999999999</v>
      </c>
      <c r="U124">
        <v>406</v>
      </c>
      <c r="V124">
        <f t="shared" si="1"/>
        <v>0.68317401300285441</v>
      </c>
      <c r="W124">
        <v>8.1268297297297281</v>
      </c>
    </row>
    <row r="125" spans="1:23" x14ac:dyDescent="0.35">
      <c r="A125" s="2" t="s">
        <v>43</v>
      </c>
      <c r="B125" s="3" t="s">
        <v>306</v>
      </c>
      <c r="C125" s="3" t="s">
        <v>322</v>
      </c>
      <c r="D125" s="3" t="s">
        <v>316</v>
      </c>
      <c r="E125" s="3" t="s">
        <v>317</v>
      </c>
      <c r="F125">
        <v>5.95</v>
      </c>
      <c r="G125">
        <v>3.75</v>
      </c>
      <c r="H125">
        <v>16161.407907528799</v>
      </c>
      <c r="I125">
        <v>6805.4510254100796</v>
      </c>
      <c r="J125">
        <v>0.76628146505935701</v>
      </c>
      <c r="K125">
        <v>2.63383814107307</v>
      </c>
      <c r="L125">
        <v>200</v>
      </c>
      <c r="M125">
        <v>173.33333333333485</v>
      </c>
      <c r="N125" s="2">
        <v>-0.93699999999999994</v>
      </c>
      <c r="O125" s="2">
        <v>-0.50700000000000001</v>
      </c>
      <c r="P125" s="2">
        <v>6.84</v>
      </c>
    </row>
    <row r="126" spans="1:23" x14ac:dyDescent="0.35">
      <c r="A126" s="2" t="s">
        <v>44</v>
      </c>
      <c r="B126" s="3" t="s">
        <v>306</v>
      </c>
      <c r="C126" s="3" t="s">
        <v>322</v>
      </c>
      <c r="D126" s="3" t="s">
        <v>316</v>
      </c>
      <c r="E126" s="3" t="s">
        <v>317</v>
      </c>
      <c r="F126">
        <v>4.5</v>
      </c>
      <c r="G126">
        <v>2.81</v>
      </c>
      <c r="H126">
        <v>10914.5710789806</v>
      </c>
      <c r="I126">
        <v>4465.9773824191097</v>
      </c>
      <c r="J126">
        <v>0.83509370692287199</v>
      </c>
      <c r="K126">
        <v>2.4464589432137398</v>
      </c>
      <c r="L126">
        <v>240.21352313166653</v>
      </c>
      <c r="M126">
        <v>188.61209964412851</v>
      </c>
      <c r="N126" s="2"/>
      <c r="O126" s="2"/>
      <c r="P126" s="2">
        <v>4.5599999999999996</v>
      </c>
    </row>
    <row r="127" spans="1:23" x14ac:dyDescent="0.35">
      <c r="A127" s="2" t="s">
        <v>45</v>
      </c>
      <c r="B127" s="3" t="s">
        <v>306</v>
      </c>
      <c r="C127" s="3" t="s">
        <v>322</v>
      </c>
      <c r="D127" s="3" t="s">
        <v>316</v>
      </c>
      <c r="E127" s="3" t="s">
        <v>317</v>
      </c>
      <c r="F127">
        <v>6.96</v>
      </c>
      <c r="G127">
        <v>4.37</v>
      </c>
      <c r="H127">
        <v>14026.347135501401</v>
      </c>
      <c r="I127">
        <v>6483.1575323327297</v>
      </c>
      <c r="J127">
        <v>0.70396990444151697</v>
      </c>
      <c r="K127">
        <v>3.11294347707963</v>
      </c>
      <c r="L127">
        <v>207.09382151029774</v>
      </c>
      <c r="M127">
        <v>175.0572082379864</v>
      </c>
      <c r="N127" s="2">
        <v>-0.89900000000000002</v>
      </c>
      <c r="O127" s="2">
        <v>-0.46900000000000003</v>
      </c>
    </row>
    <row r="128" spans="1:23" x14ac:dyDescent="0.35">
      <c r="A128" s="2" t="s">
        <v>46</v>
      </c>
      <c r="B128" s="3" t="s">
        <v>306</v>
      </c>
      <c r="C128" s="3" t="s">
        <v>322</v>
      </c>
      <c r="D128" s="3" t="s">
        <v>316</v>
      </c>
      <c r="E128" s="3" t="s">
        <v>317</v>
      </c>
      <c r="F128">
        <v>7.48</v>
      </c>
      <c r="G128">
        <v>4.58</v>
      </c>
      <c r="H128">
        <v>17965.140765530701</v>
      </c>
      <c r="I128">
        <v>5846.8645997031999</v>
      </c>
      <c r="J128">
        <v>0.83014629811786</v>
      </c>
      <c r="K128">
        <v>2.63365964319097</v>
      </c>
      <c r="L128">
        <v>223.79912663755582</v>
      </c>
      <c r="M128">
        <v>174.67248908296881</v>
      </c>
      <c r="N128" s="2"/>
      <c r="O128" s="2"/>
    </row>
    <row r="129" spans="1:23" x14ac:dyDescent="0.35">
      <c r="A129" s="2" t="s">
        <v>47</v>
      </c>
      <c r="B129" s="3" t="s">
        <v>306</v>
      </c>
      <c r="C129" s="3" t="s">
        <v>322</v>
      </c>
      <c r="D129" s="3" t="s">
        <v>316</v>
      </c>
      <c r="E129" s="3" t="s">
        <v>317</v>
      </c>
      <c r="F129">
        <v>5.56</v>
      </c>
      <c r="G129">
        <v>3.08</v>
      </c>
      <c r="H129">
        <v>12804.476371218099</v>
      </c>
      <c r="I129">
        <v>5023.1635620432899</v>
      </c>
      <c r="J129">
        <v>0.82272851502918398</v>
      </c>
      <c r="K129">
        <v>2.5753363257873101</v>
      </c>
      <c r="L129">
        <v>220.77922077922298</v>
      </c>
      <c r="M129">
        <v>186.68831168831261</v>
      </c>
      <c r="N129" s="2"/>
      <c r="O129" s="2"/>
    </row>
    <row r="130" spans="1:23" x14ac:dyDescent="0.35">
      <c r="A130" s="2" t="s">
        <v>48</v>
      </c>
      <c r="B130" s="3" t="s">
        <v>306</v>
      </c>
      <c r="C130" s="3" t="s">
        <v>322</v>
      </c>
      <c r="D130" s="3" t="s">
        <v>316</v>
      </c>
      <c r="E130" s="3" t="s">
        <v>317</v>
      </c>
      <c r="F130">
        <v>4.04</v>
      </c>
      <c r="G130">
        <v>2.5</v>
      </c>
      <c r="H130">
        <v>10075.324040429499</v>
      </c>
      <c r="I130">
        <v>4657.2114258238798</v>
      </c>
      <c r="J130">
        <v>0.84688025744075002</v>
      </c>
      <c r="K130">
        <v>2.3727990732286601</v>
      </c>
      <c r="L130">
        <v>255.99999999999454</v>
      </c>
      <c r="M130">
        <v>143.99999999999977</v>
      </c>
      <c r="N130" s="2">
        <v>-1.0760000000000001</v>
      </c>
      <c r="O130" s="2">
        <v>-0.53400000000000003</v>
      </c>
    </row>
    <row r="131" spans="1:23" x14ac:dyDescent="0.35">
      <c r="A131" s="2" t="s">
        <v>49</v>
      </c>
      <c r="B131" s="3" t="s">
        <v>306</v>
      </c>
      <c r="C131" s="3" t="s">
        <v>322</v>
      </c>
      <c r="D131" s="3" t="s">
        <v>316</v>
      </c>
      <c r="E131" s="3" t="s">
        <v>317</v>
      </c>
      <c r="F131">
        <v>4.62</v>
      </c>
      <c r="G131">
        <v>2.7</v>
      </c>
      <c r="H131">
        <v>10596.7748415531</v>
      </c>
      <c r="I131">
        <v>4842.8704799755096</v>
      </c>
      <c r="J131">
        <v>0.85259245947218598</v>
      </c>
      <c r="K131">
        <v>2.1785241248305698</v>
      </c>
      <c r="L131">
        <v>242.59259259259301</v>
      </c>
      <c r="M131">
        <v>175.92592592592382</v>
      </c>
      <c r="N131" s="2"/>
      <c r="O131" s="2"/>
      <c r="P131" s="2">
        <v>7</v>
      </c>
      <c r="Q131">
        <v>110.616</v>
      </c>
      <c r="R131">
        <v>218.453</v>
      </c>
      <c r="S131">
        <v>1054.0744999999999</v>
      </c>
      <c r="T131">
        <v>11.372999999999999</v>
      </c>
      <c r="U131">
        <v>560</v>
      </c>
      <c r="V131">
        <f t="shared" si="1"/>
        <v>0.53127174597241467</v>
      </c>
      <c r="W131">
        <v>9.2778411428571435</v>
      </c>
    </row>
    <row r="132" spans="1:23" x14ac:dyDescent="0.35">
      <c r="A132" s="2" t="s">
        <v>186</v>
      </c>
      <c r="B132" s="3" t="s">
        <v>306</v>
      </c>
      <c r="C132" s="3" t="s">
        <v>323</v>
      </c>
      <c r="D132" s="3" t="s">
        <v>316</v>
      </c>
      <c r="E132" s="3" t="s">
        <v>317</v>
      </c>
      <c r="F132">
        <v>5.0999999999999996</v>
      </c>
      <c r="G132">
        <v>3.04</v>
      </c>
      <c r="H132">
        <v>12185.642792903</v>
      </c>
      <c r="I132">
        <v>5962.7663083635998</v>
      </c>
      <c r="J132">
        <v>0.84614856155954998</v>
      </c>
      <c r="K132">
        <v>2.57566958423903</v>
      </c>
      <c r="L132">
        <v>302.63157894737367</v>
      </c>
      <c r="M132">
        <v>414.47368421053267</v>
      </c>
      <c r="N132" s="2"/>
      <c r="O132" s="2"/>
      <c r="P132" s="2">
        <v>4.4800000000000004</v>
      </c>
      <c r="Q132">
        <v>80.573999999999998</v>
      </c>
      <c r="R132">
        <v>69.961671050699564</v>
      </c>
      <c r="S132">
        <v>603.5367</v>
      </c>
      <c r="T132">
        <v>6.8440000000000003</v>
      </c>
      <c r="U132">
        <v>482</v>
      </c>
      <c r="V132">
        <f t="shared" ref="V132:V193" si="2">+U132/S132</f>
        <v>0.79862583335860104</v>
      </c>
      <c r="W132">
        <v>8.2781624999999988</v>
      </c>
    </row>
    <row r="133" spans="1:23" x14ac:dyDescent="0.35">
      <c r="A133" s="2" t="s">
        <v>187</v>
      </c>
      <c r="B133" s="3" t="s">
        <v>306</v>
      </c>
      <c r="C133" s="3" t="s">
        <v>323</v>
      </c>
      <c r="D133" s="3" t="s">
        <v>316</v>
      </c>
      <c r="E133" s="3" t="s">
        <v>317</v>
      </c>
      <c r="F133">
        <v>5.74</v>
      </c>
      <c r="G133">
        <v>3.82</v>
      </c>
      <c r="H133">
        <v>13940.0614654783</v>
      </c>
      <c r="I133">
        <v>5030.58818882368</v>
      </c>
      <c r="J133">
        <v>0.78291739167424401</v>
      </c>
      <c r="K133">
        <v>3.0242474757253701</v>
      </c>
      <c r="L133">
        <v>249.99999999999585</v>
      </c>
      <c r="M133">
        <v>348.16753926701898</v>
      </c>
      <c r="N133" s="2"/>
      <c r="O133" s="2"/>
      <c r="P133" s="2">
        <v>4.3600000000000003</v>
      </c>
      <c r="Q133">
        <v>90.379000000000005</v>
      </c>
      <c r="R133">
        <v>96.156370937842652</v>
      </c>
      <c r="S133">
        <v>620.12860000000001</v>
      </c>
      <c r="T133">
        <v>6.6402999999999999</v>
      </c>
      <c r="U133">
        <v>510</v>
      </c>
      <c r="V133">
        <f t="shared" si="2"/>
        <v>0.8224100613969425</v>
      </c>
      <c r="W133">
        <v>9.3082073394495399</v>
      </c>
    </row>
    <row r="134" spans="1:23" x14ac:dyDescent="0.35">
      <c r="A134" s="2" t="s">
        <v>188</v>
      </c>
      <c r="B134" s="3" t="s">
        <v>306</v>
      </c>
      <c r="C134" s="3" t="s">
        <v>323</v>
      </c>
      <c r="D134" s="3" t="s">
        <v>316</v>
      </c>
      <c r="E134" s="3" t="s">
        <v>317</v>
      </c>
      <c r="F134">
        <v>5.36</v>
      </c>
      <c r="G134">
        <v>3.41</v>
      </c>
      <c r="H134">
        <v>12803.629133521899</v>
      </c>
      <c r="I134">
        <v>5476.1002460284999</v>
      </c>
      <c r="J134">
        <v>0.83551609839596097</v>
      </c>
      <c r="K134">
        <v>2.0070968994890901</v>
      </c>
      <c r="L134">
        <v>211.14369501466243</v>
      </c>
      <c r="M134">
        <v>466.27565982404792</v>
      </c>
      <c r="N134" s="2"/>
      <c r="O134" s="2"/>
    </row>
    <row r="135" spans="1:23" x14ac:dyDescent="0.35">
      <c r="A135" s="2" t="s">
        <v>189</v>
      </c>
      <c r="B135" s="3" t="s">
        <v>306</v>
      </c>
      <c r="C135" s="3" t="s">
        <v>323</v>
      </c>
      <c r="D135" s="3" t="s">
        <v>316</v>
      </c>
      <c r="E135" s="3" t="s">
        <v>317</v>
      </c>
      <c r="F135">
        <v>6.41</v>
      </c>
      <c r="G135">
        <v>4.37</v>
      </c>
      <c r="H135">
        <v>15358.050953788101</v>
      </c>
      <c r="I135">
        <v>4814.1171144189602</v>
      </c>
      <c r="J135">
        <v>0.84832518646183497</v>
      </c>
      <c r="K135">
        <v>2.22340380849097</v>
      </c>
      <c r="L135">
        <v>221.96796338672743</v>
      </c>
      <c r="M135">
        <v>322.65446224256863</v>
      </c>
      <c r="N135" s="2"/>
      <c r="O135" s="2"/>
      <c r="P135" s="2">
        <v>8.16</v>
      </c>
    </row>
    <row r="136" spans="1:23" x14ac:dyDescent="0.35">
      <c r="A136" s="2" t="s">
        <v>190</v>
      </c>
      <c r="B136" s="3" t="s">
        <v>306</v>
      </c>
      <c r="C136" s="3" t="s">
        <v>323</v>
      </c>
      <c r="D136" s="3" t="s">
        <v>316</v>
      </c>
      <c r="E136" s="3" t="s">
        <v>317</v>
      </c>
      <c r="F136">
        <v>6.27</v>
      </c>
      <c r="G136">
        <v>3.53</v>
      </c>
      <c r="H136">
        <v>11512.494051462199</v>
      </c>
      <c r="I136">
        <v>5647.4608441886803</v>
      </c>
      <c r="J136">
        <v>0.84748107102747805</v>
      </c>
      <c r="K136">
        <v>2.0997121176509999</v>
      </c>
      <c r="L136">
        <v>294.61756373937453</v>
      </c>
      <c r="M136">
        <v>276.20396600566414</v>
      </c>
      <c r="N136" s="2">
        <v>-0.70399999999999996</v>
      </c>
      <c r="O136" s="2">
        <v>-0.36799999999999999</v>
      </c>
    </row>
    <row r="137" spans="1:23" x14ac:dyDescent="0.35">
      <c r="A137" s="2" t="s">
        <v>191</v>
      </c>
      <c r="B137" s="3" t="s">
        <v>306</v>
      </c>
      <c r="C137" s="3" t="s">
        <v>323</v>
      </c>
      <c r="D137" s="3" t="s">
        <v>316</v>
      </c>
      <c r="E137" s="3" t="s">
        <v>317</v>
      </c>
      <c r="F137">
        <v>6.8699999999999992</v>
      </c>
      <c r="G137">
        <v>4.22</v>
      </c>
      <c r="H137">
        <v>15250.781166815599</v>
      </c>
      <c r="I137">
        <v>4772.2604360350197</v>
      </c>
      <c r="J137">
        <v>0.75620039008835804</v>
      </c>
      <c r="K137">
        <v>2.3887393380609598</v>
      </c>
      <c r="L137">
        <v>234.59715639809971</v>
      </c>
      <c r="M137">
        <v>286.72985781990712</v>
      </c>
      <c r="N137" s="2"/>
      <c r="O137" s="2"/>
      <c r="P137" s="2">
        <v>7.6</v>
      </c>
    </row>
    <row r="138" spans="1:23" x14ac:dyDescent="0.35">
      <c r="A138" s="2" t="s">
        <v>192</v>
      </c>
      <c r="B138" s="3" t="s">
        <v>306</v>
      </c>
      <c r="C138" s="3" t="s">
        <v>323</v>
      </c>
      <c r="D138" s="3" t="s">
        <v>316</v>
      </c>
      <c r="E138" s="3" t="s">
        <v>317</v>
      </c>
      <c r="F138">
        <v>6.65</v>
      </c>
      <c r="G138">
        <v>4.55</v>
      </c>
      <c r="H138">
        <v>14819.8379310001</v>
      </c>
      <c r="I138">
        <v>5949.9987476758197</v>
      </c>
      <c r="J138">
        <v>0.748399184830838</v>
      </c>
      <c r="K138">
        <v>2.9623910299608598</v>
      </c>
      <c r="L138">
        <v>201.0989010989056</v>
      </c>
      <c r="M138">
        <v>234.06593406593356</v>
      </c>
      <c r="N138" s="2"/>
      <c r="O138" s="2"/>
      <c r="P138" s="2">
        <v>8.52</v>
      </c>
      <c r="Q138">
        <v>68.185400000000001</v>
      </c>
      <c r="R138">
        <v>81.020910049773335</v>
      </c>
      <c r="S138">
        <v>422.56799999999998</v>
      </c>
      <c r="T138">
        <v>5.3558000000000003</v>
      </c>
      <c r="U138">
        <v>416</v>
      </c>
      <c r="V138">
        <f t="shared" si="2"/>
        <v>0.98445693947483015</v>
      </c>
      <c r="W138">
        <v>3.2127619718309859</v>
      </c>
    </row>
    <row r="139" spans="1:23" x14ac:dyDescent="0.35">
      <c r="A139" s="2" t="s">
        <v>193</v>
      </c>
      <c r="B139" s="3" t="s">
        <v>306</v>
      </c>
      <c r="C139" s="3" t="s">
        <v>323</v>
      </c>
      <c r="D139" s="3" t="s">
        <v>316</v>
      </c>
      <c r="E139" s="3" t="s">
        <v>317</v>
      </c>
      <c r="F139">
        <v>6.63</v>
      </c>
      <c r="G139">
        <v>3.94</v>
      </c>
      <c r="H139">
        <v>17332.5154792428</v>
      </c>
      <c r="I139">
        <v>5529.1136754585004</v>
      </c>
      <c r="J139">
        <v>0.80454092579919601</v>
      </c>
      <c r="K139">
        <v>2.6741960022566098</v>
      </c>
      <c r="L139">
        <v>229.6954314720779</v>
      </c>
      <c r="M139">
        <v>423.8578680203014</v>
      </c>
      <c r="N139" s="2">
        <v>-0.24700000000000003</v>
      </c>
      <c r="O139" s="2">
        <v>-0.47699999999999998</v>
      </c>
    </row>
    <row r="140" spans="1:23" x14ac:dyDescent="0.35">
      <c r="A140" s="2" t="s">
        <v>194</v>
      </c>
      <c r="B140" s="3" t="s">
        <v>306</v>
      </c>
      <c r="C140" s="3" t="s">
        <v>323</v>
      </c>
      <c r="D140" s="3" t="s">
        <v>316</v>
      </c>
      <c r="E140" s="3" t="s">
        <v>317</v>
      </c>
      <c r="F140">
        <v>6.82</v>
      </c>
      <c r="G140">
        <v>3.94</v>
      </c>
      <c r="H140">
        <v>17152.4897756717</v>
      </c>
      <c r="I140">
        <v>6263.3866765013499</v>
      </c>
      <c r="J140">
        <v>0.84075359208733302</v>
      </c>
      <c r="K140">
        <v>2.3220321564820998</v>
      </c>
      <c r="L140">
        <v>215.73604060913561</v>
      </c>
      <c r="M140">
        <v>289.34010152283918</v>
      </c>
      <c r="N140" s="2">
        <v>-0.47599999999999998</v>
      </c>
      <c r="O140" s="2">
        <v>-0.48699999999999999</v>
      </c>
    </row>
    <row r="141" spans="1:23" x14ac:dyDescent="0.35">
      <c r="A141" s="2" t="s">
        <v>195</v>
      </c>
      <c r="B141" s="3" t="s">
        <v>306</v>
      </c>
      <c r="C141" s="3" t="s">
        <v>323</v>
      </c>
      <c r="D141" s="3" t="s">
        <v>316</v>
      </c>
      <c r="E141" s="3" t="s">
        <v>317</v>
      </c>
      <c r="F141">
        <v>5.86</v>
      </c>
      <c r="G141">
        <v>4.12</v>
      </c>
      <c r="H141">
        <v>14235.192172618899</v>
      </c>
      <c r="I141">
        <v>5269.9042618757803</v>
      </c>
      <c r="J141">
        <v>0.82762256278524304</v>
      </c>
      <c r="K141">
        <v>2.7313743188377102</v>
      </c>
      <c r="L141">
        <v>264.56310679611732</v>
      </c>
      <c r="M141">
        <v>343.44660194174566</v>
      </c>
      <c r="N141" s="2"/>
      <c r="O141" s="2"/>
    </row>
    <row r="142" spans="1:23" x14ac:dyDescent="0.35">
      <c r="A142" s="2" t="s">
        <v>50</v>
      </c>
      <c r="B142" s="3" t="s">
        <v>307</v>
      </c>
      <c r="C142" s="3" t="s">
        <v>322</v>
      </c>
      <c r="D142" s="3" t="s">
        <v>314</v>
      </c>
      <c r="E142" s="3" t="s">
        <v>318</v>
      </c>
      <c r="F142">
        <v>4.17</v>
      </c>
      <c r="G142">
        <v>2.2000000000000002</v>
      </c>
      <c r="H142">
        <v>8818.3501820423007</v>
      </c>
      <c r="I142">
        <v>5297.1735037547896</v>
      </c>
      <c r="J142">
        <v>0.84459138340753304</v>
      </c>
      <c r="K142">
        <v>2.3767077107804702</v>
      </c>
      <c r="L142">
        <v>240.90909090909142</v>
      </c>
      <c r="M142">
        <v>20.454545454546228</v>
      </c>
      <c r="N142" s="2"/>
      <c r="O142" s="2"/>
    </row>
    <row r="143" spans="1:23" x14ac:dyDescent="0.35">
      <c r="A143" s="2" t="s">
        <v>51</v>
      </c>
      <c r="B143" s="3" t="s">
        <v>307</v>
      </c>
      <c r="C143" s="3" t="s">
        <v>322</v>
      </c>
      <c r="D143" s="3" t="s">
        <v>314</v>
      </c>
      <c r="E143" s="3" t="s">
        <v>318</v>
      </c>
      <c r="F143">
        <v>5.18</v>
      </c>
      <c r="G143">
        <v>3.21</v>
      </c>
      <c r="H143">
        <v>11413.940901555001</v>
      </c>
      <c r="I143">
        <v>5898.4472622314297</v>
      </c>
      <c r="J143">
        <v>0.85156406428417097</v>
      </c>
      <c r="K143">
        <v>2.4374938196643998</v>
      </c>
      <c r="L143">
        <v>257.00934579439343</v>
      </c>
      <c r="M143">
        <v>141.74454828660384</v>
      </c>
      <c r="N143" s="2">
        <v>-1.0619999999999998</v>
      </c>
      <c r="O143" s="2">
        <v>-0.42599999999999999</v>
      </c>
      <c r="P143" s="2">
        <v>7.64</v>
      </c>
      <c r="Q143">
        <v>71.801199999999994</v>
      </c>
      <c r="R143">
        <v>78.510599999999997</v>
      </c>
      <c r="S143">
        <v>803.59370000000001</v>
      </c>
      <c r="T143">
        <v>7.2333999999999996</v>
      </c>
      <c r="U143">
        <v>503</v>
      </c>
      <c r="V143">
        <f t="shared" si="2"/>
        <v>0.62593820733039596</v>
      </c>
      <c r="W143">
        <v>5.9723607329842938</v>
      </c>
    </row>
    <row r="144" spans="1:23" x14ac:dyDescent="0.35">
      <c r="A144" s="2" t="s">
        <v>52</v>
      </c>
      <c r="B144" s="3" t="s">
        <v>307</v>
      </c>
      <c r="C144" s="3" t="s">
        <v>322</v>
      </c>
      <c r="D144" s="3" t="s">
        <v>314</v>
      </c>
      <c r="E144" s="3" t="s">
        <v>318</v>
      </c>
      <c r="F144">
        <v>4.6399999999999997</v>
      </c>
      <c r="G144">
        <v>2.94</v>
      </c>
      <c r="H144">
        <v>11068.4018962068</v>
      </c>
      <c r="I144">
        <v>4819.55836207832</v>
      </c>
      <c r="J144">
        <v>0.75916360439245401</v>
      </c>
      <c r="K144">
        <v>3.1471278147725301</v>
      </c>
      <c r="L144">
        <v>215.9863945578297</v>
      </c>
      <c r="M144">
        <v>112.24489795918309</v>
      </c>
      <c r="N144" s="2"/>
      <c r="O144" s="2"/>
    </row>
    <row r="145" spans="1:23" x14ac:dyDescent="0.35">
      <c r="A145" s="2" t="s">
        <v>53</v>
      </c>
      <c r="B145" s="3" t="s">
        <v>307</v>
      </c>
      <c r="C145" s="3" t="s">
        <v>322</v>
      </c>
      <c r="D145" s="3" t="s">
        <v>314</v>
      </c>
      <c r="E145" s="3" t="s">
        <v>318</v>
      </c>
      <c r="F145">
        <v>7.3100000000000005</v>
      </c>
      <c r="G145">
        <v>5.09</v>
      </c>
      <c r="H145">
        <v>18421.764078349599</v>
      </c>
      <c r="I145">
        <v>5592.1765421992995</v>
      </c>
      <c r="J145">
        <v>0.83810832925499001</v>
      </c>
      <c r="K145">
        <v>2.38638978902208</v>
      </c>
      <c r="L145">
        <v>232.80943025540321</v>
      </c>
      <c r="M145">
        <v>141.45383104125995</v>
      </c>
      <c r="N145" s="2"/>
      <c r="O145" s="2"/>
      <c r="P145" s="2">
        <v>7.16</v>
      </c>
      <c r="Q145">
        <v>88.526799999999994</v>
      </c>
      <c r="R145">
        <v>130.99010000000001</v>
      </c>
      <c r="S145">
        <v>929.49450000000002</v>
      </c>
      <c r="T145">
        <v>9.0061999999999998</v>
      </c>
      <c r="U145">
        <v>442</v>
      </c>
      <c r="V145">
        <f t="shared" si="2"/>
        <v>0.4755272892954181</v>
      </c>
      <c r="W145">
        <v>6.5878994413407819</v>
      </c>
    </row>
    <row r="146" spans="1:23" x14ac:dyDescent="0.35">
      <c r="A146" s="2" t="s">
        <v>54</v>
      </c>
      <c r="B146" s="3" t="s">
        <v>307</v>
      </c>
      <c r="C146" s="3" t="s">
        <v>322</v>
      </c>
      <c r="D146" s="3" t="s">
        <v>314</v>
      </c>
      <c r="E146" s="3" t="s">
        <v>318</v>
      </c>
      <c r="F146">
        <v>4.6100000000000003</v>
      </c>
      <c r="G146">
        <v>2.99</v>
      </c>
      <c r="H146">
        <v>13112.615829014199</v>
      </c>
      <c r="I146">
        <v>6021.9770898443503</v>
      </c>
      <c r="J146">
        <v>0.841996671079279</v>
      </c>
      <c r="K146">
        <v>2.3415572575513099</v>
      </c>
      <c r="L146">
        <v>260.86956521739165</v>
      </c>
      <c r="M146">
        <v>140.46822742474973</v>
      </c>
      <c r="N146" s="2"/>
      <c r="O146" s="2"/>
      <c r="P146" s="2">
        <v>5.52</v>
      </c>
    </row>
    <row r="147" spans="1:23" x14ac:dyDescent="0.35">
      <c r="A147" s="2" t="s">
        <v>55</v>
      </c>
      <c r="B147" s="3" t="s">
        <v>307</v>
      </c>
      <c r="C147" s="3" t="s">
        <v>322</v>
      </c>
      <c r="D147" s="3" t="s">
        <v>314</v>
      </c>
      <c r="E147" s="3" t="s">
        <v>318</v>
      </c>
      <c r="F147">
        <v>5.0500000000000007</v>
      </c>
      <c r="G147">
        <v>3.45</v>
      </c>
      <c r="H147">
        <v>9362.0144358514208</v>
      </c>
      <c r="I147">
        <v>4103.3774366079797</v>
      </c>
      <c r="J147">
        <v>0.84301052443870095</v>
      </c>
      <c r="K147">
        <v>2.28549346800453</v>
      </c>
      <c r="L147">
        <v>276.8115942028939</v>
      </c>
      <c r="M147">
        <v>171.01449275362418</v>
      </c>
      <c r="N147" s="2"/>
      <c r="O147" s="2"/>
      <c r="P147" s="2">
        <v>3.8</v>
      </c>
    </row>
    <row r="148" spans="1:23" x14ac:dyDescent="0.35">
      <c r="A148" s="2" t="s">
        <v>56</v>
      </c>
      <c r="B148" s="3" t="s">
        <v>307</v>
      </c>
      <c r="C148" s="3" t="s">
        <v>322</v>
      </c>
      <c r="D148" s="3" t="s">
        <v>314</v>
      </c>
      <c r="E148" s="3" t="s">
        <v>318</v>
      </c>
      <c r="F148">
        <v>4.88</v>
      </c>
      <c r="G148">
        <v>2.91</v>
      </c>
      <c r="H148">
        <v>11657.3978445335</v>
      </c>
      <c r="I148">
        <v>3735.3225974382399</v>
      </c>
      <c r="J148">
        <v>0.76540313475755895</v>
      </c>
      <c r="K148">
        <v>3.1720367026330298</v>
      </c>
      <c r="L148">
        <v>213.0584192439878</v>
      </c>
      <c r="M148">
        <v>103.09278350515366</v>
      </c>
      <c r="N148" s="2">
        <v>-1.2230000000000001</v>
      </c>
      <c r="O148" s="2">
        <v>-0.46900000000000003</v>
      </c>
      <c r="P148" s="2">
        <v>6.64</v>
      </c>
    </row>
    <row r="149" spans="1:23" x14ac:dyDescent="0.35">
      <c r="A149" s="2" t="s">
        <v>57</v>
      </c>
      <c r="B149" s="3" t="s">
        <v>307</v>
      </c>
      <c r="C149" s="3" t="s">
        <v>322</v>
      </c>
      <c r="D149" s="3" t="s">
        <v>314</v>
      </c>
      <c r="E149" s="3" t="s">
        <v>318</v>
      </c>
      <c r="F149">
        <v>5.67</v>
      </c>
      <c r="G149">
        <v>3.85</v>
      </c>
      <c r="H149">
        <v>14612.908514398299</v>
      </c>
      <c r="I149">
        <v>5229.4183649670003</v>
      </c>
      <c r="J149">
        <v>0.82398180346372096</v>
      </c>
      <c r="K149">
        <v>2.3664394251547498</v>
      </c>
      <c r="L149">
        <v>264.9350649350676</v>
      </c>
      <c r="M149">
        <v>155.84415584415436</v>
      </c>
      <c r="N149" s="2"/>
      <c r="O149" s="2"/>
      <c r="P149" s="2">
        <v>5.24</v>
      </c>
    </row>
    <row r="150" spans="1:23" x14ac:dyDescent="0.35">
      <c r="A150" s="2" t="s">
        <v>58</v>
      </c>
      <c r="B150" s="3" t="s">
        <v>307</v>
      </c>
      <c r="C150" s="3" t="s">
        <v>322</v>
      </c>
      <c r="D150" s="3" t="s">
        <v>314</v>
      </c>
      <c r="E150" s="3" t="s">
        <v>318</v>
      </c>
      <c r="F150">
        <v>4.18</v>
      </c>
      <c r="G150">
        <v>2.8</v>
      </c>
      <c r="H150">
        <v>8538.3135229321706</v>
      </c>
      <c r="I150">
        <v>5140.5668489130303</v>
      </c>
      <c r="J150">
        <v>0.82838511918401703</v>
      </c>
      <c r="K150">
        <v>2.7923159404961702</v>
      </c>
      <c r="L150">
        <v>198.21428571427802</v>
      </c>
      <c r="M150">
        <v>101.78571428571307</v>
      </c>
      <c r="N150" s="2">
        <v>-1.2029999999999998</v>
      </c>
      <c r="O150" s="2">
        <v>-0.624</v>
      </c>
      <c r="P150" s="2">
        <v>2.64</v>
      </c>
    </row>
    <row r="151" spans="1:23" x14ac:dyDescent="0.35">
      <c r="A151" s="2" t="s">
        <v>59</v>
      </c>
      <c r="B151" s="3" t="s">
        <v>307</v>
      </c>
      <c r="C151" s="3" t="s">
        <v>322</v>
      </c>
      <c r="D151" s="3" t="s">
        <v>314</v>
      </c>
      <c r="E151" s="3" t="s">
        <v>318</v>
      </c>
      <c r="F151">
        <v>5.01</v>
      </c>
      <c r="G151">
        <v>2.95</v>
      </c>
      <c r="H151">
        <v>12753.9201221813</v>
      </c>
      <c r="I151">
        <v>6643.97452491072</v>
      </c>
      <c r="J151">
        <v>0.84377296838133198</v>
      </c>
      <c r="K151">
        <v>2.0874065388225702</v>
      </c>
      <c r="L151">
        <v>240.67796610168796</v>
      </c>
      <c r="M151">
        <v>118.64406779660824</v>
      </c>
      <c r="N151" s="2"/>
      <c r="O151" s="2"/>
      <c r="P151" s="2">
        <v>4.92</v>
      </c>
      <c r="Q151">
        <v>101.6045</v>
      </c>
      <c r="R151">
        <v>120.7013</v>
      </c>
      <c r="S151">
        <v>667.952</v>
      </c>
      <c r="T151">
        <v>9.5532000000000004</v>
      </c>
      <c r="U151">
        <v>399</v>
      </c>
      <c r="V151">
        <f t="shared" si="2"/>
        <v>0.59734831245358944</v>
      </c>
      <c r="W151">
        <v>8.9639682926829263</v>
      </c>
    </row>
    <row r="152" spans="1:23" x14ac:dyDescent="0.35">
      <c r="A152" s="2" t="s">
        <v>196</v>
      </c>
      <c r="B152" s="3" t="s">
        <v>307</v>
      </c>
      <c r="C152" s="3" t="s">
        <v>323</v>
      </c>
      <c r="D152" s="3" t="s">
        <v>314</v>
      </c>
      <c r="E152" s="3" t="s">
        <v>318</v>
      </c>
      <c r="F152">
        <v>5.36</v>
      </c>
      <c r="G152">
        <v>2.94</v>
      </c>
      <c r="H152">
        <v>13943.038755967</v>
      </c>
      <c r="I152">
        <v>4795.92308934835</v>
      </c>
      <c r="J152">
        <v>0.82539078215893202</v>
      </c>
      <c r="K152">
        <v>2.41030416970891</v>
      </c>
      <c r="L152">
        <v>301.02040816326223</v>
      </c>
      <c r="M152">
        <v>438.77551020408862</v>
      </c>
      <c r="N152" s="2"/>
      <c r="O152" s="2"/>
    </row>
    <row r="153" spans="1:23" x14ac:dyDescent="0.35">
      <c r="A153" s="2" t="s">
        <v>197</v>
      </c>
      <c r="B153" s="3" t="s">
        <v>307</v>
      </c>
      <c r="C153" s="3" t="s">
        <v>323</v>
      </c>
      <c r="D153" s="3" t="s">
        <v>314</v>
      </c>
      <c r="E153" s="3" t="s">
        <v>318</v>
      </c>
      <c r="F153">
        <v>6.44</v>
      </c>
      <c r="G153">
        <v>4.28</v>
      </c>
      <c r="H153">
        <v>16421.4283838872</v>
      </c>
      <c r="I153">
        <v>4826.3869579658103</v>
      </c>
      <c r="J153">
        <v>0.83799169567607401</v>
      </c>
      <c r="K153">
        <v>2.1304913346875498</v>
      </c>
      <c r="L153">
        <v>197.42990654205579</v>
      </c>
      <c r="M153">
        <v>184.57943925233457</v>
      </c>
      <c r="N153" s="2">
        <v>-0.623</v>
      </c>
      <c r="O153" s="2">
        <v>-0.5444</v>
      </c>
    </row>
    <row r="154" spans="1:23" x14ac:dyDescent="0.35">
      <c r="A154" s="2" t="s">
        <v>198</v>
      </c>
      <c r="B154" s="3" t="s">
        <v>307</v>
      </c>
      <c r="C154" s="3" t="s">
        <v>323</v>
      </c>
      <c r="D154" s="3" t="s">
        <v>314</v>
      </c>
      <c r="E154" s="3" t="s">
        <v>318</v>
      </c>
      <c r="F154">
        <v>5.35</v>
      </c>
      <c r="G154">
        <v>3.8</v>
      </c>
      <c r="H154">
        <v>12695.5435437086</v>
      </c>
      <c r="I154">
        <v>5930.3483245863999</v>
      </c>
      <c r="J154">
        <v>0.82204465662785098</v>
      </c>
      <c r="K154">
        <v>2.1776889598418498</v>
      </c>
      <c r="L154">
        <v>260.52631578947609</v>
      </c>
      <c r="M154">
        <v>364.47368421052391</v>
      </c>
      <c r="N154" s="2">
        <v>-0.27599999999999997</v>
      </c>
      <c r="O154" s="2">
        <v>-0.503</v>
      </c>
    </row>
    <row r="155" spans="1:23" x14ac:dyDescent="0.35">
      <c r="A155" s="2" t="s">
        <v>199</v>
      </c>
      <c r="B155" s="3" t="s">
        <v>307</v>
      </c>
      <c r="C155" s="3" t="s">
        <v>323</v>
      </c>
      <c r="D155" s="3" t="s">
        <v>314</v>
      </c>
      <c r="E155" s="3" t="s">
        <v>318</v>
      </c>
      <c r="F155">
        <v>5.42</v>
      </c>
      <c r="G155">
        <v>3.42</v>
      </c>
      <c r="H155">
        <v>7708.0732862730601</v>
      </c>
      <c r="I155">
        <v>6609.4945946634298</v>
      </c>
      <c r="J155">
        <v>0.72144214026410602</v>
      </c>
      <c r="K155">
        <v>3.57297642617482</v>
      </c>
      <c r="L155">
        <v>429.82456140351678</v>
      </c>
      <c r="M155">
        <v>305.5555555555519</v>
      </c>
      <c r="N155" s="2"/>
      <c r="O155" s="2"/>
    </row>
    <row r="156" spans="1:23" x14ac:dyDescent="0.35">
      <c r="A156" s="2" t="s">
        <v>200</v>
      </c>
      <c r="B156" s="3" t="s">
        <v>307</v>
      </c>
      <c r="C156" s="3" t="s">
        <v>323</v>
      </c>
      <c r="D156" s="3" t="s">
        <v>314</v>
      </c>
      <c r="E156" s="3" t="s">
        <v>318</v>
      </c>
      <c r="F156">
        <v>5.33</v>
      </c>
      <c r="G156">
        <v>3.19</v>
      </c>
      <c r="H156">
        <v>10596.492542485399</v>
      </c>
      <c r="I156">
        <v>5718.3212922991997</v>
      </c>
      <c r="J156">
        <v>0.844125651186176</v>
      </c>
      <c r="K156">
        <v>2.1698678565446601</v>
      </c>
      <c r="L156">
        <v>247.64890282131412</v>
      </c>
      <c r="M156">
        <v>360.50156739812093</v>
      </c>
      <c r="N156" s="2"/>
      <c r="O156" s="2"/>
    </row>
    <row r="157" spans="1:23" x14ac:dyDescent="0.35">
      <c r="A157" s="2" t="s">
        <v>201</v>
      </c>
      <c r="B157" s="3" t="s">
        <v>307</v>
      </c>
      <c r="C157" s="3" t="s">
        <v>323</v>
      </c>
      <c r="D157" s="3" t="s">
        <v>314</v>
      </c>
      <c r="E157" s="3" t="s">
        <v>318</v>
      </c>
      <c r="F157">
        <v>5.21</v>
      </c>
      <c r="G157">
        <v>2.67</v>
      </c>
      <c r="H157">
        <v>9661.8501542559898</v>
      </c>
      <c r="I157">
        <v>5524.3858398422799</v>
      </c>
      <c r="J157">
        <v>0.84175978800887896</v>
      </c>
      <c r="K157">
        <v>2.3046734132897999</v>
      </c>
      <c r="L157">
        <v>413.85767790262327</v>
      </c>
      <c r="M157">
        <v>666.66666666666708</v>
      </c>
      <c r="N157" s="2"/>
      <c r="O157" s="2"/>
      <c r="P157" s="2">
        <v>7.16</v>
      </c>
      <c r="Q157">
        <v>97.752399999999994</v>
      </c>
      <c r="R157">
        <v>132.07555514330303</v>
      </c>
      <c r="S157">
        <v>919.80709999999999</v>
      </c>
      <c r="T157">
        <v>9.9154999999999998</v>
      </c>
      <c r="U157">
        <v>678</v>
      </c>
      <c r="V157">
        <f t="shared" si="2"/>
        <v>0.73711107470251103</v>
      </c>
      <c r="W157">
        <v>8.4367407821229055</v>
      </c>
    </row>
    <row r="158" spans="1:23" x14ac:dyDescent="0.35">
      <c r="A158" s="2" t="s">
        <v>202</v>
      </c>
      <c r="B158" s="3" t="s">
        <v>307</v>
      </c>
      <c r="C158" s="3" t="s">
        <v>323</v>
      </c>
      <c r="D158" s="3" t="s">
        <v>314</v>
      </c>
      <c r="E158" s="3" t="s">
        <v>318</v>
      </c>
      <c r="F158">
        <v>6.53</v>
      </c>
      <c r="G158">
        <v>4.16</v>
      </c>
      <c r="H158">
        <v>17428.006807847702</v>
      </c>
      <c r="I158">
        <v>6750.6796233735604</v>
      </c>
      <c r="J158">
        <v>0.81753259489854402</v>
      </c>
      <c r="K158">
        <v>2.3376227216477701</v>
      </c>
      <c r="L158">
        <v>188.70192307692224</v>
      </c>
      <c r="M158">
        <v>272.83653846154311</v>
      </c>
      <c r="N158" s="2">
        <v>-0.44600000000000001</v>
      </c>
      <c r="O158" s="2">
        <v>-0.64700000000000002</v>
      </c>
      <c r="P158" s="2">
        <v>6.12</v>
      </c>
      <c r="Q158">
        <v>108.6885</v>
      </c>
      <c r="R158">
        <v>111.77454638388372</v>
      </c>
      <c r="S158">
        <v>871.58349999999996</v>
      </c>
      <c r="T158">
        <v>11.343999999999999</v>
      </c>
      <c r="U158">
        <v>515</v>
      </c>
      <c r="V158">
        <f t="shared" si="2"/>
        <v>0.5908785560993296</v>
      </c>
      <c r="W158">
        <v>8.8633431372549012</v>
      </c>
    </row>
    <row r="159" spans="1:23" x14ac:dyDescent="0.35">
      <c r="A159" s="2" t="s">
        <v>203</v>
      </c>
      <c r="B159" s="3" t="s">
        <v>307</v>
      </c>
      <c r="C159" s="3" t="s">
        <v>323</v>
      </c>
      <c r="D159" s="3" t="s">
        <v>314</v>
      </c>
      <c r="E159" s="3" t="s">
        <v>318</v>
      </c>
      <c r="F159">
        <v>7.8800000000000008</v>
      </c>
      <c r="G159">
        <v>4.4400000000000004</v>
      </c>
      <c r="H159">
        <v>19937.991272062001</v>
      </c>
      <c r="I159">
        <v>6158.9382629396196</v>
      </c>
      <c r="J159">
        <v>0.83316414156510998</v>
      </c>
      <c r="K159">
        <v>1.8624255669997101</v>
      </c>
      <c r="L159">
        <v>170.04504504504402</v>
      </c>
      <c r="M159">
        <v>201.57657657657245</v>
      </c>
      <c r="N159" s="2"/>
      <c r="O159" s="2"/>
      <c r="P159" s="2">
        <v>6.68</v>
      </c>
    </row>
    <row r="160" spans="1:23" x14ac:dyDescent="0.35">
      <c r="A160" s="2" t="s">
        <v>204</v>
      </c>
      <c r="B160" s="3" t="s">
        <v>307</v>
      </c>
      <c r="C160" s="3" t="s">
        <v>323</v>
      </c>
      <c r="D160" s="3" t="s">
        <v>314</v>
      </c>
      <c r="E160" s="3" t="s">
        <v>318</v>
      </c>
      <c r="F160">
        <v>6.89</v>
      </c>
      <c r="G160">
        <v>4.5199999999999996</v>
      </c>
      <c r="H160">
        <v>14337.095645867201</v>
      </c>
      <c r="I160">
        <v>4641.2120488809896</v>
      </c>
      <c r="J160">
        <v>0.72980471126573399</v>
      </c>
      <c r="K160">
        <v>3.5242264593374499</v>
      </c>
      <c r="L160">
        <v>147.12389380531113</v>
      </c>
      <c r="M160">
        <v>237.83185840707716</v>
      </c>
      <c r="N160" s="2"/>
      <c r="O160" s="2"/>
      <c r="P160" s="2">
        <v>8.48</v>
      </c>
    </row>
    <row r="161" spans="1:23" x14ac:dyDescent="0.35">
      <c r="A161" s="2" t="s">
        <v>205</v>
      </c>
      <c r="B161" s="3" t="s">
        <v>307</v>
      </c>
      <c r="C161" s="3" t="s">
        <v>323</v>
      </c>
      <c r="D161" s="3" t="s">
        <v>314</v>
      </c>
      <c r="E161" s="3" t="s">
        <v>318</v>
      </c>
      <c r="F161">
        <v>5.3599999999999994</v>
      </c>
      <c r="G161">
        <v>3.38</v>
      </c>
      <c r="H161">
        <v>15217.1146091349</v>
      </c>
      <c r="I161">
        <v>6246.0566868831202</v>
      </c>
      <c r="J161">
        <v>0.823077427629192</v>
      </c>
      <c r="K161">
        <v>2.3749417692162198</v>
      </c>
      <c r="L161">
        <v>278.106508875739</v>
      </c>
      <c r="M161">
        <v>366.86390532544647</v>
      </c>
      <c r="N161" s="2"/>
      <c r="O161" s="2"/>
      <c r="P161" s="2">
        <v>4.68</v>
      </c>
      <c r="Q161">
        <v>76.282899999999998</v>
      </c>
      <c r="R161">
        <v>74.942982167344795</v>
      </c>
      <c r="S161">
        <v>577.95510000000002</v>
      </c>
      <c r="T161">
        <v>5.8529999999999998</v>
      </c>
      <c r="U161">
        <v>332</v>
      </c>
      <c r="V161">
        <f t="shared" si="2"/>
        <v>0.57443908705018776</v>
      </c>
      <c r="W161">
        <v>7.4900794871794867</v>
      </c>
    </row>
    <row r="162" spans="1:23" x14ac:dyDescent="0.35">
      <c r="A162" s="2" t="s">
        <v>60</v>
      </c>
      <c r="B162" s="3" t="s">
        <v>308</v>
      </c>
      <c r="C162" s="3" t="s">
        <v>322</v>
      </c>
      <c r="D162" s="3" t="s">
        <v>316</v>
      </c>
      <c r="E162" s="3" t="s">
        <v>317</v>
      </c>
      <c r="F162">
        <v>5.81</v>
      </c>
      <c r="G162">
        <v>4.1399999999999997</v>
      </c>
      <c r="H162">
        <v>17034.769798814999</v>
      </c>
      <c r="I162">
        <v>4475.8790863151298</v>
      </c>
      <c r="J162">
        <v>0.789811841770791</v>
      </c>
      <c r="K162">
        <v>3.0455948029196298</v>
      </c>
      <c r="L162">
        <v>219.80676328502335</v>
      </c>
      <c r="M162">
        <v>198.0676328502399</v>
      </c>
      <c r="N162" s="2"/>
      <c r="O162" s="2"/>
      <c r="P162" s="2">
        <v>6.96</v>
      </c>
      <c r="Q162">
        <v>126.63330000000001</v>
      </c>
      <c r="R162">
        <v>143.02099999999999</v>
      </c>
      <c r="S162">
        <v>1079.3484000000001</v>
      </c>
      <c r="T162">
        <v>12.0975</v>
      </c>
      <c r="U162">
        <v>814</v>
      </c>
      <c r="V162">
        <f t="shared" si="2"/>
        <v>0.7541587127937559</v>
      </c>
      <c r="W162">
        <v>9.6129637931034502</v>
      </c>
    </row>
    <row r="163" spans="1:23" x14ac:dyDescent="0.35">
      <c r="A163" s="2" t="s">
        <v>61</v>
      </c>
      <c r="B163" s="3" t="s">
        <v>308</v>
      </c>
      <c r="C163" s="3" t="s">
        <v>322</v>
      </c>
      <c r="D163" s="3" t="s">
        <v>316</v>
      </c>
      <c r="E163" s="3" t="s">
        <v>317</v>
      </c>
      <c r="F163">
        <v>5.3100000000000005</v>
      </c>
      <c r="G163">
        <v>3.7</v>
      </c>
      <c r="H163">
        <v>14057.2000195118</v>
      </c>
      <c r="I163">
        <v>4816.4542470901897</v>
      </c>
      <c r="J163">
        <v>0.78996135466544704</v>
      </c>
      <c r="K163">
        <v>2.8746552906312299</v>
      </c>
      <c r="L163">
        <v>172.97297297297311</v>
      </c>
      <c r="M163">
        <v>98.648648648651104</v>
      </c>
      <c r="N163" s="2">
        <v>-1.222</v>
      </c>
      <c r="O163" s="2">
        <v>-0.66200000000000003</v>
      </c>
      <c r="P163" s="2">
        <v>6.68</v>
      </c>
    </row>
    <row r="164" spans="1:23" x14ac:dyDescent="0.35">
      <c r="A164" s="2" t="s">
        <v>62</v>
      </c>
      <c r="B164" s="3" t="s">
        <v>308</v>
      </c>
      <c r="C164" s="3" t="s">
        <v>322</v>
      </c>
      <c r="D164" s="3" t="s">
        <v>316</v>
      </c>
      <c r="E164" s="3" t="s">
        <v>317</v>
      </c>
      <c r="F164">
        <v>6.5600000000000005</v>
      </c>
      <c r="G164">
        <v>3.75</v>
      </c>
      <c r="H164">
        <v>15116.7511505763</v>
      </c>
      <c r="I164">
        <v>5717.4849811645799</v>
      </c>
      <c r="J164">
        <v>0.80973862373918604</v>
      </c>
      <c r="K164">
        <v>2.57439762658103</v>
      </c>
      <c r="L164">
        <v>176.00000000000287</v>
      </c>
      <c r="M164">
        <v>136.00000000000136</v>
      </c>
      <c r="N164" s="2"/>
      <c r="O164" s="2"/>
      <c r="P164" s="2">
        <v>9.76</v>
      </c>
      <c r="Q164">
        <v>133.68459999999999</v>
      </c>
      <c r="R164">
        <v>101.13890000000001</v>
      </c>
      <c r="S164">
        <v>981.53039999999999</v>
      </c>
      <c r="T164">
        <v>14.023899999999999</v>
      </c>
      <c r="U164">
        <v>624</v>
      </c>
      <c r="V164">
        <f t="shared" si="2"/>
        <v>0.63574189856982521</v>
      </c>
      <c r="W164">
        <v>6.2449942622950827</v>
      </c>
    </row>
    <row r="165" spans="1:23" x14ac:dyDescent="0.35">
      <c r="A165" s="2" t="s">
        <v>63</v>
      </c>
      <c r="B165" s="3" t="s">
        <v>308</v>
      </c>
      <c r="C165" s="3" t="s">
        <v>322</v>
      </c>
      <c r="D165" s="3" t="s">
        <v>316</v>
      </c>
      <c r="E165" s="3" t="s">
        <v>317</v>
      </c>
      <c r="F165">
        <v>4.13</v>
      </c>
      <c r="G165">
        <v>2.44</v>
      </c>
      <c r="H165">
        <v>8982.4854559247597</v>
      </c>
      <c r="I165">
        <v>4845.0179951815498</v>
      </c>
      <c r="J165">
        <v>0.748619962869848</v>
      </c>
      <c r="K165">
        <v>2.90042442799865</v>
      </c>
      <c r="L165">
        <v>104.50819672130962</v>
      </c>
      <c r="M165">
        <v>18.442622950820372</v>
      </c>
      <c r="N165" s="2"/>
      <c r="O165" s="2"/>
      <c r="P165" s="2">
        <v>4.08</v>
      </c>
    </row>
    <row r="166" spans="1:23" x14ac:dyDescent="0.35">
      <c r="A166" s="2" t="s">
        <v>64</v>
      </c>
      <c r="B166" s="3" t="s">
        <v>308</v>
      </c>
      <c r="C166" s="3" t="s">
        <v>322</v>
      </c>
      <c r="D166" s="3" t="s">
        <v>316</v>
      </c>
      <c r="E166" s="3" t="s">
        <v>317</v>
      </c>
      <c r="F166">
        <v>6.29</v>
      </c>
      <c r="G166">
        <v>4.3899999999999997</v>
      </c>
      <c r="H166">
        <v>14750.999557171501</v>
      </c>
      <c r="I166">
        <v>5348.9963087874403</v>
      </c>
      <c r="J166">
        <v>0.83814865131521599</v>
      </c>
      <c r="K166">
        <v>1.8960125382245301</v>
      </c>
      <c r="L166">
        <v>275.62642369020682</v>
      </c>
      <c r="M166">
        <v>195.89977220956709</v>
      </c>
      <c r="N166" s="2">
        <v>-0.8869999999999999</v>
      </c>
      <c r="O166" s="2">
        <v>-0.54</v>
      </c>
      <c r="P166" s="2">
        <v>3.96</v>
      </c>
    </row>
    <row r="167" spans="1:23" x14ac:dyDescent="0.35">
      <c r="A167" s="2" t="s">
        <v>65</v>
      </c>
      <c r="B167" s="3" t="s">
        <v>308</v>
      </c>
      <c r="C167" s="3" t="s">
        <v>322</v>
      </c>
      <c r="D167" s="3" t="s">
        <v>316</v>
      </c>
      <c r="E167" s="3" t="s">
        <v>317</v>
      </c>
      <c r="F167">
        <v>4.33</v>
      </c>
      <c r="G167">
        <v>2.73</v>
      </c>
      <c r="H167">
        <v>9464.1904956598191</v>
      </c>
      <c r="I167">
        <v>4978.0045083511995</v>
      </c>
      <c r="J167">
        <v>0.84718029596953304</v>
      </c>
      <c r="K167">
        <v>2.3429359816287199</v>
      </c>
      <c r="L167">
        <v>152.0146520146491</v>
      </c>
      <c r="M167">
        <v>21.978021978022809</v>
      </c>
      <c r="N167" s="2"/>
      <c r="O167" s="2"/>
      <c r="P167" s="2">
        <v>5.2</v>
      </c>
    </row>
    <row r="168" spans="1:23" x14ac:dyDescent="0.35">
      <c r="A168" s="2" t="s">
        <v>66</v>
      </c>
      <c r="B168" s="3" t="s">
        <v>308</v>
      </c>
      <c r="C168" s="3" t="s">
        <v>322</v>
      </c>
      <c r="D168" s="3" t="s">
        <v>316</v>
      </c>
      <c r="E168" s="3" t="s">
        <v>317</v>
      </c>
      <c r="F168">
        <v>5.51</v>
      </c>
      <c r="G168">
        <v>3.09</v>
      </c>
      <c r="H168">
        <v>17144.016648738601</v>
      </c>
      <c r="I168">
        <v>5577.7387820632202</v>
      </c>
      <c r="J168">
        <v>0.820198344974709</v>
      </c>
      <c r="K168">
        <v>2.1838911823387699</v>
      </c>
      <c r="L168">
        <v>148.86731391586019</v>
      </c>
      <c r="M168">
        <v>22.653721682847991</v>
      </c>
      <c r="N168" s="2"/>
      <c r="O168" s="2"/>
    </row>
    <row r="169" spans="1:23" x14ac:dyDescent="0.35">
      <c r="A169" s="2" t="s">
        <v>67</v>
      </c>
      <c r="B169" s="3" t="s">
        <v>308</v>
      </c>
      <c r="C169" s="3" t="s">
        <v>322</v>
      </c>
      <c r="D169" s="3" t="s">
        <v>316</v>
      </c>
      <c r="E169" s="3" t="s">
        <v>317</v>
      </c>
      <c r="F169">
        <v>5.46</v>
      </c>
      <c r="G169">
        <v>3.86</v>
      </c>
      <c r="H169">
        <v>13949.534819949</v>
      </c>
      <c r="I169">
        <v>6838.4456801051001</v>
      </c>
      <c r="J169">
        <v>0.838171640775213</v>
      </c>
      <c r="K169">
        <v>2.3653904207389398</v>
      </c>
      <c r="L169">
        <v>189.11917098445332</v>
      </c>
      <c r="M169">
        <v>156.73575129533782</v>
      </c>
      <c r="N169" s="2"/>
      <c r="O169" s="2"/>
      <c r="P169" s="2">
        <v>5.28</v>
      </c>
    </row>
    <row r="170" spans="1:23" x14ac:dyDescent="0.35">
      <c r="A170" s="2" t="s">
        <v>68</v>
      </c>
      <c r="B170" s="3" t="s">
        <v>308</v>
      </c>
      <c r="C170" s="3" t="s">
        <v>322</v>
      </c>
      <c r="D170" s="3" t="s">
        <v>316</v>
      </c>
      <c r="E170" s="3" t="s">
        <v>317</v>
      </c>
      <c r="F170">
        <v>5.25</v>
      </c>
      <c r="G170">
        <v>3.16</v>
      </c>
      <c r="H170">
        <v>15045.129515025699</v>
      </c>
      <c r="I170">
        <v>5968.0731373075296</v>
      </c>
      <c r="J170">
        <v>0.797700244432196</v>
      </c>
      <c r="K170">
        <v>2.2604487430897802</v>
      </c>
      <c r="L170">
        <v>178.79746835442964</v>
      </c>
      <c r="M170">
        <v>87.025316455693499</v>
      </c>
      <c r="N170" s="2">
        <v>-1.2330000000000001</v>
      </c>
      <c r="O170" s="2">
        <v>-0.67800000000000005</v>
      </c>
      <c r="P170" s="2">
        <v>7.12</v>
      </c>
    </row>
    <row r="171" spans="1:23" x14ac:dyDescent="0.35">
      <c r="A171" s="2" t="s">
        <v>69</v>
      </c>
      <c r="B171" s="3" t="s">
        <v>308</v>
      </c>
      <c r="C171" s="3" t="s">
        <v>322</v>
      </c>
      <c r="D171" s="3" t="s">
        <v>316</v>
      </c>
      <c r="E171" s="3" t="s">
        <v>317</v>
      </c>
      <c r="F171">
        <v>4.47</v>
      </c>
      <c r="G171">
        <v>3.09</v>
      </c>
      <c r="H171">
        <v>10873.1833986743</v>
      </c>
      <c r="I171">
        <v>4862.16505036118</v>
      </c>
      <c r="J171">
        <v>0.78963172017327199</v>
      </c>
      <c r="K171">
        <v>1.68279542054135</v>
      </c>
      <c r="L171">
        <v>152.10355987054979</v>
      </c>
      <c r="M171">
        <v>53.398058252424612</v>
      </c>
      <c r="N171" s="2"/>
      <c r="O171" s="2"/>
      <c r="P171" s="2">
        <v>3.4</v>
      </c>
      <c r="Q171">
        <v>100.6658</v>
      </c>
      <c r="R171">
        <v>328.39490000000001</v>
      </c>
      <c r="S171">
        <v>673.80510000000004</v>
      </c>
      <c r="T171">
        <v>9.2978000000000005</v>
      </c>
      <c r="U171">
        <v>650</v>
      </c>
      <c r="V171">
        <f t="shared" si="2"/>
        <v>0.96467064437476058</v>
      </c>
      <c r="W171">
        <v>13.109068235294119</v>
      </c>
    </row>
    <row r="172" spans="1:23" x14ac:dyDescent="0.35">
      <c r="A172" s="2" t="s">
        <v>206</v>
      </c>
      <c r="B172" s="3" t="s">
        <v>308</v>
      </c>
      <c r="C172" s="3" t="s">
        <v>323</v>
      </c>
      <c r="D172" s="3" t="s">
        <v>316</v>
      </c>
      <c r="E172" s="3" t="s">
        <v>317</v>
      </c>
      <c r="F172">
        <v>5.72</v>
      </c>
      <c r="G172">
        <v>3.86</v>
      </c>
      <c r="H172">
        <v>15748.380372871199</v>
      </c>
      <c r="I172">
        <v>5867.1215604557101</v>
      </c>
      <c r="J172">
        <v>0.77310556568251998</v>
      </c>
      <c r="K172">
        <v>3.6044421957414201</v>
      </c>
      <c r="L172">
        <v>211.13989637305642</v>
      </c>
      <c r="M172">
        <v>303.10880829015957</v>
      </c>
      <c r="N172" s="2"/>
      <c r="O172" s="2"/>
    </row>
    <row r="173" spans="1:23" x14ac:dyDescent="0.35">
      <c r="A173" s="2" t="s">
        <v>207</v>
      </c>
      <c r="B173" s="3" t="s">
        <v>308</v>
      </c>
      <c r="C173" s="3" t="s">
        <v>323</v>
      </c>
      <c r="D173" s="3" t="s">
        <v>316</v>
      </c>
      <c r="E173" s="3" t="s">
        <v>317</v>
      </c>
      <c r="F173">
        <v>6.72</v>
      </c>
      <c r="G173">
        <v>4.1900000000000004</v>
      </c>
      <c r="H173">
        <v>17082.581038286899</v>
      </c>
      <c r="I173">
        <v>4685.4553606157497</v>
      </c>
      <c r="J173">
        <v>0.82177074916728599</v>
      </c>
      <c r="K173">
        <v>2.6088800689117102</v>
      </c>
      <c r="L173">
        <v>215.99045346062078</v>
      </c>
      <c r="M173">
        <v>237.4701670644402</v>
      </c>
      <c r="N173" s="2">
        <v>-0.47400000000000003</v>
      </c>
      <c r="O173" s="2">
        <v>-0.44900000000000001</v>
      </c>
    </row>
    <row r="174" spans="1:23" x14ac:dyDescent="0.35">
      <c r="A174" s="2" t="s">
        <v>208</v>
      </c>
      <c r="B174" s="3" t="s">
        <v>308</v>
      </c>
      <c r="C174" s="3" t="s">
        <v>323</v>
      </c>
      <c r="D174" s="3" t="s">
        <v>316</v>
      </c>
      <c r="E174" s="3" t="s">
        <v>317</v>
      </c>
      <c r="F174">
        <v>4.42</v>
      </c>
      <c r="G174">
        <v>2.85</v>
      </c>
      <c r="H174">
        <v>11183.1153638177</v>
      </c>
      <c r="I174">
        <v>5710.3261318661298</v>
      </c>
      <c r="J174">
        <v>0.84871403585320804</v>
      </c>
      <c r="K174">
        <v>2.3647622254604101</v>
      </c>
      <c r="L174">
        <v>303.50877192982773</v>
      </c>
      <c r="M174">
        <v>336.8421052631507</v>
      </c>
      <c r="N174" s="2"/>
      <c r="O174" s="2"/>
      <c r="P174" s="2">
        <v>3.92</v>
      </c>
      <c r="Q174">
        <v>51.995699999999999</v>
      </c>
      <c r="R174">
        <v>44.551399273464391</v>
      </c>
      <c r="S174">
        <v>485.83019999999999</v>
      </c>
      <c r="T174">
        <v>4.5210999999999997</v>
      </c>
      <c r="U174">
        <v>292</v>
      </c>
      <c r="V174">
        <f t="shared" si="2"/>
        <v>0.60103303582198064</v>
      </c>
      <c r="W174">
        <v>7.0093071428571427</v>
      </c>
    </row>
    <row r="175" spans="1:23" x14ac:dyDescent="0.35">
      <c r="A175" s="2" t="s">
        <v>209</v>
      </c>
      <c r="B175" s="3" t="s">
        <v>308</v>
      </c>
      <c r="C175" s="3" t="s">
        <v>323</v>
      </c>
      <c r="D175" s="3" t="s">
        <v>316</v>
      </c>
      <c r="E175" s="3" t="s">
        <v>317</v>
      </c>
      <c r="F175">
        <v>4.6500000000000004</v>
      </c>
      <c r="G175">
        <v>3.16</v>
      </c>
      <c r="H175">
        <v>10663.147807692199</v>
      </c>
      <c r="I175">
        <v>6108.4678541030498</v>
      </c>
      <c r="J175">
        <v>0.84133627190485705</v>
      </c>
      <c r="K175">
        <v>2.6301526456078301</v>
      </c>
      <c r="L175">
        <v>229.43037974683364</v>
      </c>
      <c r="M175">
        <v>324.36708860758773</v>
      </c>
      <c r="N175" s="2">
        <v>-0.36699999999999999</v>
      </c>
      <c r="O175" s="2">
        <v>-0.55599999999999994</v>
      </c>
    </row>
    <row r="176" spans="1:23" x14ac:dyDescent="0.35">
      <c r="A176" s="2" t="s">
        <v>210</v>
      </c>
      <c r="B176" s="3" t="s">
        <v>308</v>
      </c>
      <c r="C176" s="3" t="s">
        <v>323</v>
      </c>
      <c r="D176" s="3" t="s">
        <v>316</v>
      </c>
      <c r="E176" s="3" t="s">
        <v>317</v>
      </c>
      <c r="F176">
        <v>6.2</v>
      </c>
      <c r="G176">
        <v>3.26</v>
      </c>
      <c r="H176">
        <v>16213.554336462799</v>
      </c>
      <c r="I176">
        <v>6387.7260017006101</v>
      </c>
      <c r="J176">
        <v>0.84192029181856898</v>
      </c>
      <c r="K176">
        <v>2.3086053830526998</v>
      </c>
      <c r="L176">
        <v>245.39877300613412</v>
      </c>
      <c r="M176">
        <v>296.0122699386514</v>
      </c>
      <c r="N176" s="2"/>
      <c r="O176" s="2"/>
    </row>
    <row r="177" spans="1:23" x14ac:dyDescent="0.35">
      <c r="A177" s="2" t="s">
        <v>211</v>
      </c>
      <c r="B177" s="3" t="s">
        <v>308</v>
      </c>
      <c r="C177" s="3" t="s">
        <v>323</v>
      </c>
      <c r="D177" s="3" t="s">
        <v>316</v>
      </c>
      <c r="E177" s="3" t="s">
        <v>317</v>
      </c>
      <c r="F177">
        <v>6.25</v>
      </c>
      <c r="G177">
        <v>4.16</v>
      </c>
      <c r="H177">
        <v>14487.069992582399</v>
      </c>
      <c r="I177">
        <v>6533.7774314426297</v>
      </c>
      <c r="J177">
        <v>0.60715213830236403</v>
      </c>
      <c r="K177">
        <v>3.95931391488705</v>
      </c>
      <c r="L177">
        <v>275.24038461538709</v>
      </c>
      <c r="M177">
        <v>342.54807692307963</v>
      </c>
      <c r="N177" s="2"/>
      <c r="O177" s="2"/>
      <c r="P177" s="2">
        <v>7.2</v>
      </c>
    </row>
    <row r="178" spans="1:23" x14ac:dyDescent="0.35">
      <c r="A178" s="2" t="s">
        <v>212</v>
      </c>
      <c r="B178" s="3" t="s">
        <v>308</v>
      </c>
      <c r="C178" s="3" t="s">
        <v>323</v>
      </c>
      <c r="D178" s="3" t="s">
        <v>316</v>
      </c>
      <c r="E178" s="3" t="s">
        <v>317</v>
      </c>
      <c r="F178">
        <v>4.7</v>
      </c>
      <c r="G178">
        <v>2.88</v>
      </c>
      <c r="H178">
        <v>11663.654635948</v>
      </c>
      <c r="I178">
        <v>6080.0278932851998</v>
      </c>
      <c r="J178">
        <v>0.84488353313860098</v>
      </c>
      <c r="K178">
        <v>2.3607504501746099</v>
      </c>
      <c r="L178">
        <v>312.50000000000199</v>
      </c>
      <c r="M178">
        <v>456.59722222222143</v>
      </c>
      <c r="N178" s="2"/>
      <c r="O178" s="2"/>
      <c r="P178" s="2">
        <v>6</v>
      </c>
      <c r="Q178">
        <v>46.3703</v>
      </c>
      <c r="R178">
        <v>66.92282792869274</v>
      </c>
      <c r="S178">
        <v>468.77910000000003</v>
      </c>
      <c r="T178">
        <v>3.7822</v>
      </c>
      <c r="U178">
        <v>320</v>
      </c>
      <c r="V178">
        <f t="shared" si="2"/>
        <v>0.68262428935078368</v>
      </c>
      <c r="W178">
        <v>4.2501939999999996</v>
      </c>
    </row>
    <row r="179" spans="1:23" x14ac:dyDescent="0.35">
      <c r="A179" s="2" t="s">
        <v>213</v>
      </c>
      <c r="B179" s="3" t="s">
        <v>308</v>
      </c>
      <c r="C179" s="3" t="s">
        <v>323</v>
      </c>
      <c r="D179" s="3" t="s">
        <v>316</v>
      </c>
      <c r="E179" s="3" t="s">
        <v>317</v>
      </c>
      <c r="F179">
        <v>6.25</v>
      </c>
      <c r="G179">
        <v>4.3</v>
      </c>
      <c r="H179">
        <v>16636.758783012701</v>
      </c>
      <c r="I179">
        <v>6116.99532205991</v>
      </c>
      <c r="J179">
        <v>0.79757052109720705</v>
      </c>
      <c r="K179">
        <v>2.54150602991534</v>
      </c>
      <c r="L179">
        <v>172.09302325581606</v>
      </c>
      <c r="M179">
        <v>259.3023255813975</v>
      </c>
      <c r="N179" s="2">
        <v>-0.35099999999999998</v>
      </c>
      <c r="O179" s="2">
        <v>-0.70199999999999996</v>
      </c>
    </row>
    <row r="180" spans="1:23" x14ac:dyDescent="0.35">
      <c r="A180" s="2" t="s">
        <v>214</v>
      </c>
      <c r="B180" s="3" t="s">
        <v>308</v>
      </c>
      <c r="C180" s="3" t="s">
        <v>323</v>
      </c>
      <c r="D180" s="3" t="s">
        <v>316</v>
      </c>
      <c r="E180" s="3" t="s">
        <v>317</v>
      </c>
      <c r="F180">
        <v>5.09</v>
      </c>
      <c r="G180">
        <v>3.56</v>
      </c>
      <c r="H180">
        <v>12343.199415979399</v>
      </c>
      <c r="I180">
        <v>4981.7080546347397</v>
      </c>
      <c r="J180">
        <v>0.81211726270523998</v>
      </c>
      <c r="K180">
        <v>2.26332701355174</v>
      </c>
      <c r="L180">
        <v>185.39325842696533</v>
      </c>
      <c r="M180">
        <v>293.53932584270109</v>
      </c>
      <c r="N180" s="2"/>
      <c r="O180" s="2"/>
      <c r="P180" s="2">
        <v>5.44</v>
      </c>
    </row>
    <row r="181" spans="1:23" x14ac:dyDescent="0.35">
      <c r="A181" s="2" t="s">
        <v>215</v>
      </c>
      <c r="B181" s="3" t="s">
        <v>308</v>
      </c>
      <c r="C181" s="3" t="s">
        <v>323</v>
      </c>
      <c r="D181" s="3" t="s">
        <v>316</v>
      </c>
      <c r="E181" s="3" t="s">
        <v>317</v>
      </c>
      <c r="F181">
        <v>5.33</v>
      </c>
      <c r="G181">
        <v>3.18</v>
      </c>
      <c r="H181">
        <v>8224.1864637671697</v>
      </c>
      <c r="I181">
        <v>7315.6153136914099</v>
      </c>
      <c r="J181">
        <v>0.71360955734893405</v>
      </c>
      <c r="K181">
        <v>3.4591355202422598</v>
      </c>
      <c r="L181">
        <v>316.03773584906412</v>
      </c>
      <c r="M181">
        <v>334.90566037735778</v>
      </c>
      <c r="N181" s="2"/>
      <c r="O181" s="2"/>
      <c r="P181" s="2">
        <v>5.76</v>
      </c>
      <c r="Q181">
        <v>63.590200000000003</v>
      </c>
      <c r="R181">
        <v>118.15114464047781</v>
      </c>
      <c r="S181">
        <v>554.98869999999999</v>
      </c>
      <c r="T181">
        <v>5.4977</v>
      </c>
      <c r="U181">
        <v>389</v>
      </c>
      <c r="V181">
        <f t="shared" si="2"/>
        <v>0.70091517178638052</v>
      </c>
      <c r="W181">
        <v>5.7763270833333324</v>
      </c>
    </row>
    <row r="182" spans="1:23" x14ac:dyDescent="0.35">
      <c r="A182" s="2" t="s">
        <v>70</v>
      </c>
      <c r="B182" s="3" t="s">
        <v>309</v>
      </c>
      <c r="C182" s="3" t="s">
        <v>322</v>
      </c>
      <c r="D182" s="3" t="s">
        <v>315</v>
      </c>
      <c r="E182" s="3" t="s">
        <v>317</v>
      </c>
      <c r="F182">
        <v>5.88</v>
      </c>
      <c r="G182">
        <v>3.9</v>
      </c>
      <c r="H182">
        <v>13714.942178929001</v>
      </c>
      <c r="I182">
        <v>4222.4913946207198</v>
      </c>
      <c r="J182">
        <v>0.75043648649112604</v>
      </c>
      <c r="K182">
        <v>2.6313035318831601</v>
      </c>
      <c r="L182">
        <v>252.56410256410607</v>
      </c>
      <c r="M182">
        <v>180.76923076923035</v>
      </c>
      <c r="N182" s="2">
        <v>-0.97399999999999998</v>
      </c>
      <c r="O182" s="2">
        <v>-0.41200000000000003</v>
      </c>
      <c r="P182" s="2">
        <v>5.96</v>
      </c>
      <c r="Q182">
        <v>71.314800000000005</v>
      </c>
      <c r="R182">
        <v>90.100399999999993</v>
      </c>
      <c r="S182">
        <v>782.80340000000001</v>
      </c>
      <c r="T182">
        <v>11.988799999999999</v>
      </c>
      <c r="U182">
        <v>457</v>
      </c>
      <c r="V182">
        <f t="shared" si="2"/>
        <v>0.58379920168972188</v>
      </c>
      <c r="W182">
        <v>7.3678973154362408</v>
      </c>
    </row>
    <row r="183" spans="1:23" x14ac:dyDescent="0.35">
      <c r="A183" s="2" t="s">
        <v>71</v>
      </c>
      <c r="B183" s="3" t="s">
        <v>309</v>
      </c>
      <c r="C183" s="3" t="s">
        <v>322</v>
      </c>
      <c r="D183" s="3" t="s">
        <v>315</v>
      </c>
      <c r="E183" s="3" t="s">
        <v>317</v>
      </c>
      <c r="F183">
        <v>3.68</v>
      </c>
      <c r="G183">
        <v>2.33</v>
      </c>
      <c r="H183">
        <v>10356.8725128185</v>
      </c>
      <c r="I183">
        <v>6587.6139124707797</v>
      </c>
      <c r="J183">
        <v>0.81678279544606902</v>
      </c>
      <c r="K183">
        <v>2.3005598725452598</v>
      </c>
      <c r="L183">
        <v>311.15879828325933</v>
      </c>
      <c r="M183">
        <v>23.605150214595202</v>
      </c>
      <c r="N183" s="2"/>
      <c r="O183" s="2"/>
      <c r="P183" s="2">
        <v>4.4800000000000004</v>
      </c>
      <c r="Q183">
        <v>137.4599</v>
      </c>
      <c r="R183">
        <v>103.12260000000001</v>
      </c>
      <c r="S183">
        <v>983.67880000000002</v>
      </c>
      <c r="T183">
        <v>12.430999999999999</v>
      </c>
      <c r="U183">
        <v>554</v>
      </c>
      <c r="V183">
        <f t="shared" si="2"/>
        <v>0.56319196876053446</v>
      </c>
      <c r="W183">
        <v>14.695135714285714</v>
      </c>
    </row>
    <row r="184" spans="1:23" x14ac:dyDescent="0.35">
      <c r="A184" s="2" t="s">
        <v>72</v>
      </c>
      <c r="B184" s="3" t="s">
        <v>309</v>
      </c>
      <c r="C184" s="3" t="s">
        <v>322</v>
      </c>
      <c r="D184" s="3" t="s">
        <v>315</v>
      </c>
      <c r="E184" s="3" t="s">
        <v>317</v>
      </c>
      <c r="F184">
        <v>6.48</v>
      </c>
      <c r="G184">
        <v>3.39</v>
      </c>
      <c r="H184">
        <v>14693.079451900099</v>
      </c>
      <c r="I184">
        <v>4772.89069161117</v>
      </c>
      <c r="J184">
        <v>0.84993619051826896</v>
      </c>
      <c r="K184">
        <v>2.3692878878682402</v>
      </c>
      <c r="L184">
        <v>266.96165191740448</v>
      </c>
      <c r="M184">
        <v>153.39233038347965</v>
      </c>
      <c r="N184" s="2"/>
      <c r="O184" s="2"/>
      <c r="P184" s="2">
        <v>7.32</v>
      </c>
    </row>
    <row r="185" spans="1:23" x14ac:dyDescent="0.35">
      <c r="A185" s="2" t="s">
        <v>73</v>
      </c>
      <c r="B185" s="3" t="s">
        <v>309</v>
      </c>
      <c r="C185" s="3" t="s">
        <v>322</v>
      </c>
      <c r="D185" s="3" t="s">
        <v>315</v>
      </c>
      <c r="E185" s="3" t="s">
        <v>317</v>
      </c>
      <c r="F185">
        <v>6.41</v>
      </c>
      <c r="G185">
        <v>4.3</v>
      </c>
      <c r="H185">
        <v>15924.235550752799</v>
      </c>
      <c r="I185">
        <v>6982.4624043475796</v>
      </c>
      <c r="J185">
        <v>0.81538448257871299</v>
      </c>
      <c r="K185">
        <v>2.8101921022263898</v>
      </c>
      <c r="L185">
        <v>236.04651162790381</v>
      </c>
      <c r="M185">
        <v>187.20930232557967</v>
      </c>
      <c r="N185" s="2"/>
      <c r="O185" s="2"/>
      <c r="P185" s="2">
        <v>6.36</v>
      </c>
    </row>
    <row r="186" spans="1:23" x14ac:dyDescent="0.35">
      <c r="A186" s="2" t="s">
        <v>74</v>
      </c>
      <c r="B186" s="3" t="s">
        <v>309</v>
      </c>
      <c r="C186" s="3" t="s">
        <v>322</v>
      </c>
      <c r="D186" s="3" t="s">
        <v>315</v>
      </c>
      <c r="E186" s="3" t="s">
        <v>317</v>
      </c>
      <c r="F186">
        <v>4.54</v>
      </c>
      <c r="G186">
        <v>2.63</v>
      </c>
      <c r="H186">
        <v>11162.1020090237</v>
      </c>
      <c r="I186">
        <v>5676.4764971630802</v>
      </c>
      <c r="J186">
        <v>0.85238826558608305</v>
      </c>
      <c r="K186">
        <v>2.1395620868877101</v>
      </c>
      <c r="L186">
        <v>332.69961977186313</v>
      </c>
      <c r="M186">
        <v>68.441064638785861</v>
      </c>
      <c r="N186" s="2"/>
      <c r="O186" s="2"/>
      <c r="P186" s="2">
        <v>6.84</v>
      </c>
    </row>
    <row r="187" spans="1:23" x14ac:dyDescent="0.35">
      <c r="A187" s="2" t="s">
        <v>75</v>
      </c>
      <c r="B187" s="3" t="s">
        <v>309</v>
      </c>
      <c r="C187" s="3" t="s">
        <v>322</v>
      </c>
      <c r="D187" s="3" t="s">
        <v>315</v>
      </c>
      <c r="E187" s="3" t="s">
        <v>317</v>
      </c>
      <c r="F187">
        <v>5.1100000000000003</v>
      </c>
      <c r="G187">
        <v>3.27</v>
      </c>
      <c r="H187">
        <v>12516.8985181072</v>
      </c>
      <c r="I187">
        <v>6681.26560548835</v>
      </c>
      <c r="J187">
        <v>0.81829113232439799</v>
      </c>
      <c r="K187">
        <v>2.5488658114406202</v>
      </c>
      <c r="L187">
        <v>272.17125382263015</v>
      </c>
      <c r="M187">
        <v>151.37614678898788</v>
      </c>
      <c r="N187" s="2"/>
      <c r="O187" s="2"/>
      <c r="P187" s="2">
        <v>6.8</v>
      </c>
    </row>
    <row r="188" spans="1:23" x14ac:dyDescent="0.35">
      <c r="A188" s="2" t="s">
        <v>76</v>
      </c>
      <c r="B188" s="3" t="s">
        <v>309</v>
      </c>
      <c r="C188" s="3" t="s">
        <v>322</v>
      </c>
      <c r="D188" s="3" t="s">
        <v>315</v>
      </c>
      <c r="E188" s="3" t="s">
        <v>317</v>
      </c>
      <c r="F188">
        <v>6.23</v>
      </c>
      <c r="G188">
        <v>3.39</v>
      </c>
      <c r="H188">
        <v>16786.695925727501</v>
      </c>
      <c r="I188">
        <v>4735.2202149347004</v>
      </c>
      <c r="J188">
        <v>0.84519402701948598</v>
      </c>
      <c r="K188">
        <v>2.0958734997228401</v>
      </c>
      <c r="L188">
        <v>277.28613569321465</v>
      </c>
      <c r="M188">
        <v>200.58997050147275</v>
      </c>
      <c r="N188" s="2"/>
      <c r="O188" s="2"/>
      <c r="P188" s="2">
        <v>8.52</v>
      </c>
    </row>
    <row r="189" spans="1:23" x14ac:dyDescent="0.35">
      <c r="A189" s="2" t="s">
        <v>77</v>
      </c>
      <c r="B189" s="3" t="s">
        <v>309</v>
      </c>
      <c r="C189" s="3" t="s">
        <v>322</v>
      </c>
      <c r="D189" s="3" t="s">
        <v>315</v>
      </c>
      <c r="E189" s="3" t="s">
        <v>317</v>
      </c>
      <c r="F189">
        <v>5.29</v>
      </c>
      <c r="G189">
        <v>3.24</v>
      </c>
      <c r="H189">
        <v>10618.516112740001</v>
      </c>
      <c r="I189">
        <v>3844.3725155656002</v>
      </c>
      <c r="J189">
        <v>0.79299649894278401</v>
      </c>
      <c r="K189">
        <v>3.1534965482736301</v>
      </c>
      <c r="L189">
        <v>273.14814814814531</v>
      </c>
      <c r="M189">
        <v>146.60493827160317</v>
      </c>
      <c r="N189" s="2">
        <v>-1.093</v>
      </c>
      <c r="O189" s="2">
        <v>-0.48399999999999999</v>
      </c>
      <c r="P189" s="2">
        <v>6.48</v>
      </c>
    </row>
    <row r="190" spans="1:23" x14ac:dyDescent="0.35">
      <c r="A190" s="2" t="s">
        <v>78</v>
      </c>
      <c r="B190" s="3" t="s">
        <v>309</v>
      </c>
      <c r="C190" s="3" t="s">
        <v>322</v>
      </c>
      <c r="D190" s="3" t="s">
        <v>315</v>
      </c>
      <c r="E190" s="3" t="s">
        <v>317</v>
      </c>
      <c r="F190">
        <v>7.56</v>
      </c>
      <c r="G190">
        <v>4.4800000000000004</v>
      </c>
      <c r="H190">
        <v>17237.374359706198</v>
      </c>
      <c r="I190">
        <v>5660.9770084018201</v>
      </c>
      <c r="J190">
        <v>0.82725444630530398</v>
      </c>
      <c r="K190">
        <v>2.5086022315563001</v>
      </c>
      <c r="L190">
        <v>242.18750000000176</v>
      </c>
      <c r="M190">
        <v>186.38392857143032</v>
      </c>
      <c r="N190" s="2"/>
      <c r="O190" s="2"/>
      <c r="P190" s="2">
        <v>8.1999999999999993</v>
      </c>
    </row>
    <row r="191" spans="1:23" x14ac:dyDescent="0.35">
      <c r="A191" s="2" t="s">
        <v>79</v>
      </c>
      <c r="B191" s="3" t="s">
        <v>309</v>
      </c>
      <c r="C191" s="3" t="s">
        <v>322</v>
      </c>
      <c r="D191" s="3" t="s">
        <v>315</v>
      </c>
      <c r="E191" s="3" t="s">
        <v>317</v>
      </c>
      <c r="F191">
        <v>4.29</v>
      </c>
      <c r="G191">
        <v>2.85</v>
      </c>
      <c r="H191">
        <v>13079.2996273152</v>
      </c>
      <c r="I191">
        <v>6624.0490780758801</v>
      </c>
      <c r="J191">
        <v>0.84135281311177801</v>
      </c>
      <c r="K191">
        <v>1.94979395463918</v>
      </c>
      <c r="L191">
        <v>307.01754385964909</v>
      </c>
      <c r="M191">
        <v>152.63157894736423</v>
      </c>
      <c r="N191" s="2">
        <v>-1.0779999999999998</v>
      </c>
      <c r="O191" s="2">
        <v>-0.49099999999999999</v>
      </c>
      <c r="P191" s="2">
        <v>3.68</v>
      </c>
      <c r="Q191">
        <v>76.574100000000001</v>
      </c>
      <c r="R191">
        <v>134.61949999999999</v>
      </c>
      <c r="S191">
        <v>599.61369999999999</v>
      </c>
      <c r="T191">
        <v>8.1121999999999996</v>
      </c>
      <c r="U191">
        <v>368</v>
      </c>
      <c r="V191">
        <f t="shared" si="2"/>
        <v>0.61372847218133941</v>
      </c>
      <c r="W191">
        <v>9.729404347826085</v>
      </c>
    </row>
    <row r="192" spans="1:23" x14ac:dyDescent="0.35">
      <c r="A192" s="2" t="s">
        <v>216</v>
      </c>
      <c r="B192" s="3" t="s">
        <v>309</v>
      </c>
      <c r="C192" s="3" t="s">
        <v>323</v>
      </c>
      <c r="D192" s="3" t="s">
        <v>315</v>
      </c>
      <c r="E192" s="3" t="s">
        <v>317</v>
      </c>
      <c r="F192">
        <v>7.33</v>
      </c>
      <c r="G192">
        <v>3.75</v>
      </c>
      <c r="H192">
        <v>15117.1474758323</v>
      </c>
      <c r="I192">
        <v>6033.6742542291404</v>
      </c>
      <c r="J192">
        <v>0.82820774528454999</v>
      </c>
      <c r="K192">
        <v>2.7875014306377799</v>
      </c>
      <c r="L192">
        <v>297.33333333333576</v>
      </c>
      <c r="M192">
        <v>412.00000000000426</v>
      </c>
      <c r="N192" s="2"/>
      <c r="O192" s="2"/>
      <c r="P192" s="2">
        <v>5.08</v>
      </c>
      <c r="Q192">
        <v>108.2675</v>
      </c>
      <c r="R192">
        <v>116.00032048183643</v>
      </c>
      <c r="S192">
        <v>581.88679999999999</v>
      </c>
      <c r="T192">
        <v>8.7033000000000005</v>
      </c>
      <c r="U192">
        <v>526</v>
      </c>
      <c r="V192">
        <f t="shared" si="2"/>
        <v>0.90395588970225826</v>
      </c>
      <c r="W192">
        <v>8.6136330708661415</v>
      </c>
    </row>
    <row r="193" spans="1:23" x14ac:dyDescent="0.35">
      <c r="A193" s="2" t="s">
        <v>217</v>
      </c>
      <c r="B193" s="3" t="s">
        <v>309</v>
      </c>
      <c r="C193" s="3" t="s">
        <v>323</v>
      </c>
      <c r="D193" s="3" t="s">
        <v>315</v>
      </c>
      <c r="E193" s="3" t="s">
        <v>317</v>
      </c>
      <c r="F193">
        <v>5.43</v>
      </c>
      <c r="G193">
        <v>3.35</v>
      </c>
      <c r="H193">
        <v>12084.4666168327</v>
      </c>
      <c r="I193">
        <v>5025.3089653009201</v>
      </c>
      <c r="J193">
        <v>0.84666857520641103</v>
      </c>
      <c r="K193">
        <v>2.0278891861142698</v>
      </c>
      <c r="L193">
        <v>367.16417910448303</v>
      </c>
      <c r="M193">
        <v>338.80597014925098</v>
      </c>
      <c r="N193" s="2">
        <v>-0.47800000000000004</v>
      </c>
      <c r="O193" s="2">
        <v>-0.45700000000000002</v>
      </c>
      <c r="P193" s="2">
        <v>5.04</v>
      </c>
      <c r="Q193">
        <v>73.981499999999997</v>
      </c>
      <c r="R193">
        <v>58.290669899327689</v>
      </c>
      <c r="S193">
        <v>462.60770000000002</v>
      </c>
      <c r="T193">
        <v>6.2531999999999996</v>
      </c>
      <c r="U193">
        <v>346</v>
      </c>
      <c r="V193">
        <f t="shared" si="2"/>
        <v>0.74793394057210894</v>
      </c>
      <c r="W193">
        <v>6.2879642857142857</v>
      </c>
    </row>
    <row r="194" spans="1:23" x14ac:dyDescent="0.35">
      <c r="A194" s="2" t="s">
        <v>218</v>
      </c>
      <c r="B194" s="3" t="s">
        <v>309</v>
      </c>
      <c r="C194" s="3" t="s">
        <v>323</v>
      </c>
      <c r="D194" s="3" t="s">
        <v>315</v>
      </c>
      <c r="E194" s="3" t="s">
        <v>317</v>
      </c>
      <c r="F194">
        <v>6.76</v>
      </c>
      <c r="G194">
        <v>4.09</v>
      </c>
      <c r="H194">
        <v>18686.509349365198</v>
      </c>
      <c r="I194">
        <v>6336.7627414131603</v>
      </c>
      <c r="J194">
        <v>0.83490181327195501</v>
      </c>
      <c r="K194">
        <v>2.3099505100844802</v>
      </c>
      <c r="L194">
        <v>257.94621026895032</v>
      </c>
      <c r="M194">
        <v>276.28361858191295</v>
      </c>
      <c r="N194" s="2">
        <v>-0.42199999999999999</v>
      </c>
      <c r="O194" s="2">
        <v>-0.34599999999999997</v>
      </c>
    </row>
    <row r="195" spans="1:23" x14ac:dyDescent="0.35">
      <c r="A195" s="2" t="s">
        <v>219</v>
      </c>
      <c r="B195" s="3" t="s">
        <v>309</v>
      </c>
      <c r="C195" s="3" t="s">
        <v>323</v>
      </c>
      <c r="D195" s="3" t="s">
        <v>315</v>
      </c>
      <c r="E195" s="3" t="s">
        <v>317</v>
      </c>
      <c r="F195">
        <v>6.85</v>
      </c>
      <c r="G195">
        <v>4.28</v>
      </c>
      <c r="H195">
        <v>18581.596392309599</v>
      </c>
      <c r="I195">
        <v>6339.4164474843901</v>
      </c>
      <c r="J195">
        <v>0.81182205101805405</v>
      </c>
      <c r="K195">
        <v>1.9228127240867401</v>
      </c>
      <c r="L195">
        <v>244.15887850466996</v>
      </c>
      <c r="M195">
        <v>283.87850467289798</v>
      </c>
      <c r="N195" s="2"/>
      <c r="O195" s="2"/>
      <c r="P195" s="2">
        <v>3.36</v>
      </c>
    </row>
    <row r="196" spans="1:23" x14ac:dyDescent="0.35">
      <c r="A196" s="2" t="s">
        <v>220</v>
      </c>
      <c r="B196" s="3" t="s">
        <v>309</v>
      </c>
      <c r="C196" s="3" t="s">
        <v>323</v>
      </c>
      <c r="D196" s="3" t="s">
        <v>315</v>
      </c>
      <c r="E196" s="3" t="s">
        <v>317</v>
      </c>
      <c r="F196">
        <v>5.37</v>
      </c>
      <c r="G196">
        <v>3.73</v>
      </c>
      <c r="H196">
        <v>11337.450127144801</v>
      </c>
      <c r="I196">
        <v>5915.9322306328204</v>
      </c>
      <c r="J196">
        <v>0.78747191104152103</v>
      </c>
      <c r="K196">
        <v>3.4498825530577002</v>
      </c>
      <c r="L196">
        <v>234.58445040214477</v>
      </c>
      <c r="M196">
        <v>215.81769436997502</v>
      </c>
      <c r="N196" s="2"/>
      <c r="O196" s="2"/>
    </row>
    <row r="197" spans="1:23" x14ac:dyDescent="0.35">
      <c r="A197" s="2" t="s">
        <v>221</v>
      </c>
      <c r="B197" s="3" t="s">
        <v>309</v>
      </c>
      <c r="C197" s="3" t="s">
        <v>323</v>
      </c>
      <c r="D197" s="3" t="s">
        <v>315</v>
      </c>
      <c r="E197" s="3" t="s">
        <v>317</v>
      </c>
      <c r="F197">
        <v>4.9000000000000004</v>
      </c>
      <c r="G197">
        <v>3.44</v>
      </c>
      <c r="H197">
        <v>7652.8708399000398</v>
      </c>
      <c r="I197">
        <v>6095.5936249125798</v>
      </c>
      <c r="J197">
        <v>0.77631651541786495</v>
      </c>
      <c r="K197">
        <v>2.6800000876401602</v>
      </c>
      <c r="L197">
        <v>252.90697674418325</v>
      </c>
      <c r="M197">
        <v>389.53488372093125</v>
      </c>
      <c r="N197" s="2"/>
      <c r="O197" s="2"/>
    </row>
    <row r="198" spans="1:23" x14ac:dyDescent="0.35">
      <c r="A198" s="2" t="s">
        <v>222</v>
      </c>
      <c r="B198" s="3" t="s">
        <v>309</v>
      </c>
      <c r="C198" s="3" t="s">
        <v>323</v>
      </c>
      <c r="D198" s="3" t="s">
        <v>315</v>
      </c>
      <c r="E198" s="3" t="s">
        <v>317</v>
      </c>
      <c r="F198">
        <v>4.2</v>
      </c>
      <c r="G198">
        <v>2.83</v>
      </c>
      <c r="H198">
        <v>10051.6577608562</v>
      </c>
      <c r="I198">
        <v>5572.16013633478</v>
      </c>
      <c r="J198">
        <v>0.78668660553512104</v>
      </c>
      <c r="K198">
        <v>2.9010719624595298</v>
      </c>
      <c r="L198">
        <v>323.32155477031517</v>
      </c>
      <c r="M198">
        <v>461.13074204947236</v>
      </c>
      <c r="N198" s="2"/>
      <c r="O198" s="2"/>
    </row>
    <row r="199" spans="1:23" x14ac:dyDescent="0.35">
      <c r="A199" s="2" t="s">
        <v>223</v>
      </c>
      <c r="B199" s="3" t="s">
        <v>309</v>
      </c>
      <c r="C199" s="3" t="s">
        <v>323</v>
      </c>
      <c r="D199" s="3" t="s">
        <v>315</v>
      </c>
      <c r="E199" s="3" t="s">
        <v>317</v>
      </c>
      <c r="F199">
        <v>5.07</v>
      </c>
      <c r="G199">
        <v>3.01</v>
      </c>
      <c r="H199">
        <v>10093.328530631101</v>
      </c>
      <c r="I199">
        <v>3990.5394733182402</v>
      </c>
      <c r="J199">
        <v>0.81566948554775998</v>
      </c>
      <c r="K199">
        <v>3.0478641302298399</v>
      </c>
      <c r="L199">
        <v>290.69767441860466</v>
      </c>
      <c r="M199">
        <v>382.05980066444431</v>
      </c>
      <c r="N199" s="2"/>
      <c r="O199" s="2"/>
      <c r="P199" s="2">
        <v>6.96</v>
      </c>
    </row>
    <row r="200" spans="1:23" x14ac:dyDescent="0.35">
      <c r="A200" s="2" t="s">
        <v>224</v>
      </c>
      <c r="B200" s="3" t="s">
        <v>309</v>
      </c>
      <c r="C200" s="3" t="s">
        <v>323</v>
      </c>
      <c r="D200" s="3" t="s">
        <v>315</v>
      </c>
      <c r="E200" s="3" t="s">
        <v>317</v>
      </c>
      <c r="F200">
        <v>4.24</v>
      </c>
      <c r="G200">
        <v>2.95</v>
      </c>
      <c r="H200">
        <v>9747.4287362799005</v>
      </c>
      <c r="I200">
        <v>3916.72673826243</v>
      </c>
      <c r="J200">
        <v>0.83335963484555597</v>
      </c>
      <c r="K200">
        <v>2.3211384965164998</v>
      </c>
      <c r="L200">
        <v>337.28813559322185</v>
      </c>
      <c r="M200">
        <v>477.96610169491407</v>
      </c>
      <c r="N200" s="2"/>
      <c r="O200" s="2"/>
      <c r="P200" s="2">
        <v>4.24</v>
      </c>
      <c r="Q200">
        <v>116.53149999999999</v>
      </c>
      <c r="R200">
        <v>173.92883582803083</v>
      </c>
      <c r="S200">
        <v>613.58630000000005</v>
      </c>
      <c r="T200">
        <v>8.1954999999999991</v>
      </c>
      <c r="U200">
        <v>635</v>
      </c>
      <c r="V200">
        <f t="shared" ref="V200:V256" si="3">+U200/S200</f>
        <v>1.0348992472615506</v>
      </c>
      <c r="W200">
        <v>10.846938679245284</v>
      </c>
    </row>
    <row r="201" spans="1:23" x14ac:dyDescent="0.35">
      <c r="A201" s="2" t="s">
        <v>225</v>
      </c>
      <c r="B201" s="3" t="s">
        <v>309</v>
      </c>
      <c r="C201" s="3" t="s">
        <v>323</v>
      </c>
      <c r="D201" s="3" t="s">
        <v>315</v>
      </c>
      <c r="E201" s="3" t="s">
        <v>317</v>
      </c>
      <c r="F201">
        <v>7.15</v>
      </c>
      <c r="G201">
        <v>4.38</v>
      </c>
      <c r="H201">
        <v>13550.620003940499</v>
      </c>
      <c r="I201">
        <v>4661.3863058551296</v>
      </c>
      <c r="J201">
        <v>0.73193396471818795</v>
      </c>
      <c r="K201">
        <v>2.9390404922872402</v>
      </c>
      <c r="L201">
        <v>221.46118721461161</v>
      </c>
      <c r="M201">
        <v>288.81278538813126</v>
      </c>
      <c r="N201" s="2">
        <v>-0.30199999999999999</v>
      </c>
      <c r="O201" s="2">
        <v>-0.53800000000000003</v>
      </c>
    </row>
    <row r="202" spans="1:23" x14ac:dyDescent="0.35">
      <c r="A202" s="2" t="s">
        <v>0</v>
      </c>
      <c r="B202" s="3" t="s">
        <v>310</v>
      </c>
      <c r="C202" s="3" t="s">
        <v>322</v>
      </c>
      <c r="D202" s="3" t="s">
        <v>310</v>
      </c>
      <c r="E202" s="3" t="s">
        <v>310</v>
      </c>
      <c r="F202">
        <v>5.15</v>
      </c>
      <c r="G202">
        <v>3.27</v>
      </c>
      <c r="H202">
        <v>13357.2368675666</v>
      </c>
      <c r="I202">
        <v>4596.7583536091097</v>
      </c>
      <c r="J202">
        <v>0.79175519579591302</v>
      </c>
      <c r="K202">
        <v>3.0446084359621501</v>
      </c>
      <c r="L202">
        <v>186.54434250764075</v>
      </c>
      <c r="M202">
        <v>59.633027522933695</v>
      </c>
      <c r="N202" s="2"/>
      <c r="O202" s="2"/>
      <c r="P202" s="2">
        <v>7.2</v>
      </c>
      <c r="Q202">
        <v>167.6251</v>
      </c>
      <c r="R202">
        <v>188.10069999999999</v>
      </c>
      <c r="S202">
        <v>1154.5519999999999</v>
      </c>
      <c r="T202">
        <v>15.0154</v>
      </c>
      <c r="U202">
        <v>831</v>
      </c>
      <c r="V202">
        <f t="shared" si="3"/>
        <v>0.7197596990001317</v>
      </c>
      <c r="W202">
        <v>9.8394183333333327</v>
      </c>
    </row>
    <row r="203" spans="1:23" x14ac:dyDescent="0.35">
      <c r="A203" s="2" t="s">
        <v>1</v>
      </c>
      <c r="B203" s="3" t="s">
        <v>310</v>
      </c>
      <c r="C203" s="3" t="s">
        <v>322</v>
      </c>
      <c r="D203" s="3" t="s">
        <v>310</v>
      </c>
      <c r="E203" s="3" t="s">
        <v>310</v>
      </c>
      <c r="F203">
        <v>5.82</v>
      </c>
      <c r="G203">
        <v>3.78</v>
      </c>
      <c r="H203">
        <v>14127.6365473592</v>
      </c>
      <c r="I203">
        <v>6427.38001365741</v>
      </c>
      <c r="J203">
        <v>0.83401487369418503</v>
      </c>
      <c r="K203">
        <v>2.1916669813712901</v>
      </c>
      <c r="L203">
        <v>166.66666666666546</v>
      </c>
      <c r="M203">
        <v>74.074074074074375</v>
      </c>
      <c r="N203" s="2">
        <v>-1.123</v>
      </c>
      <c r="O203" s="2">
        <v>-0.52100000000000002</v>
      </c>
      <c r="P203" s="2">
        <v>6.08</v>
      </c>
      <c r="Q203">
        <v>108.7422</v>
      </c>
      <c r="R203">
        <v>111.7992</v>
      </c>
      <c r="S203">
        <v>953.61249999999995</v>
      </c>
      <c r="T203">
        <v>10.698700000000001</v>
      </c>
      <c r="U203">
        <v>623</v>
      </c>
      <c r="V203">
        <f t="shared" si="3"/>
        <v>0.65330519472007764</v>
      </c>
      <c r="W203">
        <v>9.2035796052631582</v>
      </c>
    </row>
    <row r="204" spans="1:23" x14ac:dyDescent="0.35">
      <c r="A204" s="2" t="s">
        <v>2</v>
      </c>
      <c r="B204" s="3" t="s">
        <v>310</v>
      </c>
      <c r="C204" s="3" t="s">
        <v>322</v>
      </c>
      <c r="D204" s="3" t="s">
        <v>310</v>
      </c>
      <c r="E204" s="3" t="s">
        <v>310</v>
      </c>
      <c r="F204">
        <v>4.2699999999999996</v>
      </c>
      <c r="G204">
        <v>3.03</v>
      </c>
      <c r="H204">
        <v>12640.907276272799</v>
      </c>
      <c r="I204">
        <v>4950.7069638596904</v>
      </c>
      <c r="J204">
        <v>0.83428716049182305</v>
      </c>
      <c r="K204">
        <v>2.54311750819801</v>
      </c>
      <c r="L204">
        <v>193.06930693069572</v>
      </c>
      <c r="M204">
        <v>42.904290429041403</v>
      </c>
      <c r="N204" s="2"/>
      <c r="O204" s="2"/>
      <c r="P204" s="2">
        <v>7.2</v>
      </c>
    </row>
    <row r="205" spans="1:23" x14ac:dyDescent="0.35">
      <c r="A205" s="2" t="s">
        <v>3</v>
      </c>
      <c r="B205" s="3" t="s">
        <v>310</v>
      </c>
      <c r="C205" s="3" t="s">
        <v>322</v>
      </c>
      <c r="D205" s="3" t="s">
        <v>310</v>
      </c>
      <c r="E205" s="3" t="s">
        <v>310</v>
      </c>
      <c r="F205">
        <v>4.51</v>
      </c>
      <c r="G205">
        <v>2.9</v>
      </c>
      <c r="H205">
        <v>13184.7221454142</v>
      </c>
      <c r="I205">
        <v>5392.7973237165797</v>
      </c>
      <c r="J205">
        <v>0.82383373571693796</v>
      </c>
      <c r="K205">
        <v>2.0284201316839701</v>
      </c>
      <c r="L205">
        <v>200.00000000000432</v>
      </c>
      <c r="M205">
        <v>29.31034482758405</v>
      </c>
      <c r="N205" s="2"/>
      <c r="O205" s="2"/>
      <c r="P205" s="2">
        <v>5.76</v>
      </c>
    </row>
    <row r="206" spans="1:23" x14ac:dyDescent="0.35">
      <c r="A206" s="2" t="s">
        <v>4</v>
      </c>
      <c r="B206" s="3" t="s">
        <v>310</v>
      </c>
      <c r="C206" s="3" t="s">
        <v>322</v>
      </c>
      <c r="D206" s="3" t="s">
        <v>310</v>
      </c>
      <c r="E206" s="3" t="s">
        <v>310</v>
      </c>
      <c r="F206">
        <v>6.05</v>
      </c>
      <c r="G206">
        <v>3.57</v>
      </c>
      <c r="H206">
        <v>16813.646043136199</v>
      </c>
      <c r="I206">
        <v>5849.5265119994201</v>
      </c>
      <c r="J206">
        <v>0.84557567794320099</v>
      </c>
      <c r="K206">
        <v>2.2523224446822501</v>
      </c>
      <c r="L206">
        <v>173.66946778711613</v>
      </c>
      <c r="M206">
        <v>68.627450980393434</v>
      </c>
      <c r="N206" s="2">
        <v>-1.149</v>
      </c>
      <c r="O206" s="2">
        <v>-0.65599999999999992</v>
      </c>
    </row>
    <row r="207" spans="1:23" x14ac:dyDescent="0.35">
      <c r="A207" s="2" t="s">
        <v>5</v>
      </c>
      <c r="B207" s="3" t="s">
        <v>310</v>
      </c>
      <c r="C207" s="3" t="s">
        <v>322</v>
      </c>
      <c r="D207" s="3" t="s">
        <v>310</v>
      </c>
      <c r="E207" s="3" t="s">
        <v>310</v>
      </c>
      <c r="F207">
        <v>6.74</v>
      </c>
      <c r="G207">
        <v>4.3499999999999996</v>
      </c>
      <c r="H207">
        <v>15225.344270723501</v>
      </c>
      <c r="I207">
        <v>5438.2928826648804</v>
      </c>
      <c r="J207">
        <v>0.84323672010562101</v>
      </c>
      <c r="K207">
        <v>2.37109081406498</v>
      </c>
      <c r="L207">
        <v>154.02298850574425</v>
      </c>
      <c r="M207">
        <v>78.16091954023068</v>
      </c>
      <c r="N207" s="2"/>
      <c r="O207" s="2"/>
      <c r="P207" s="2">
        <v>5.16</v>
      </c>
      <c r="Q207">
        <v>93.456599999999995</v>
      </c>
      <c r="R207">
        <v>213.32310000000001</v>
      </c>
      <c r="S207">
        <v>989.55259999999998</v>
      </c>
      <c r="T207">
        <v>9.8824000000000005</v>
      </c>
      <c r="U207">
        <v>598</v>
      </c>
      <c r="V207">
        <f t="shared" si="3"/>
        <v>0.60431350491120939</v>
      </c>
      <c r="W207">
        <v>10.983632558139535</v>
      </c>
    </row>
    <row r="208" spans="1:23" x14ac:dyDescent="0.35">
      <c r="A208" s="2" t="s">
        <v>6</v>
      </c>
      <c r="B208" s="3" t="s">
        <v>310</v>
      </c>
      <c r="C208" s="3" t="s">
        <v>322</v>
      </c>
      <c r="D208" s="3" t="s">
        <v>310</v>
      </c>
      <c r="E208" s="3" t="s">
        <v>310</v>
      </c>
      <c r="F208">
        <v>5.28</v>
      </c>
      <c r="G208">
        <v>3.29</v>
      </c>
      <c r="H208">
        <v>15929.9305342568</v>
      </c>
      <c r="I208">
        <v>5434.0336761983299</v>
      </c>
      <c r="J208">
        <v>0.84656161351143799</v>
      </c>
      <c r="K208">
        <v>2.3822026545768802</v>
      </c>
      <c r="L208">
        <v>188.44984802430886</v>
      </c>
      <c r="M208">
        <v>60.790273556231867</v>
      </c>
      <c r="N208" s="2"/>
      <c r="O208" s="2"/>
    </row>
    <row r="209" spans="1:23" x14ac:dyDescent="0.35">
      <c r="A209" s="2" t="s">
        <v>7</v>
      </c>
      <c r="B209" s="3" t="s">
        <v>310</v>
      </c>
      <c r="C209" s="3" t="s">
        <v>322</v>
      </c>
      <c r="D209" s="3" t="s">
        <v>310</v>
      </c>
      <c r="E209" s="3" t="s">
        <v>310</v>
      </c>
      <c r="F209">
        <v>5.12</v>
      </c>
      <c r="G209">
        <v>3.19</v>
      </c>
      <c r="H209">
        <v>9035.4036363383802</v>
      </c>
      <c r="I209">
        <v>4642.8414672723702</v>
      </c>
      <c r="J209">
        <v>0.81723276060655303</v>
      </c>
      <c r="K209">
        <v>2.89709870829854</v>
      </c>
      <c r="L209">
        <v>186.52037617554822</v>
      </c>
      <c r="M209">
        <v>45.45454545454421</v>
      </c>
      <c r="N209" s="2"/>
      <c r="O209" s="2"/>
    </row>
    <row r="210" spans="1:23" x14ac:dyDescent="0.35">
      <c r="A210" s="2" t="s">
        <v>8</v>
      </c>
      <c r="B210" s="3" t="s">
        <v>310</v>
      </c>
      <c r="C210" s="3" t="s">
        <v>322</v>
      </c>
      <c r="D210" s="3" t="s">
        <v>310</v>
      </c>
      <c r="E210" s="3" t="s">
        <v>310</v>
      </c>
      <c r="F210">
        <v>4.08</v>
      </c>
      <c r="G210">
        <v>2.72</v>
      </c>
      <c r="H210">
        <v>11689.412941824499</v>
      </c>
      <c r="I210">
        <v>4772.5044002629902</v>
      </c>
      <c r="J210">
        <v>0.82066971679854295</v>
      </c>
      <c r="K210">
        <v>2.09308917633965</v>
      </c>
      <c r="L210">
        <v>207.72058823529326</v>
      </c>
      <c r="M210">
        <v>22.058823529412599</v>
      </c>
      <c r="N210" s="2">
        <v>-1.6120000000000001</v>
      </c>
      <c r="O210" s="2">
        <v>-0.67100000000000004</v>
      </c>
    </row>
    <row r="211" spans="1:23" x14ac:dyDescent="0.35">
      <c r="A211" s="2" t="s">
        <v>9</v>
      </c>
      <c r="B211" s="3" t="s">
        <v>310</v>
      </c>
      <c r="C211" s="3" t="s">
        <v>322</v>
      </c>
      <c r="D211" s="3" t="s">
        <v>310</v>
      </c>
      <c r="E211" s="3" t="s">
        <v>310</v>
      </c>
      <c r="F211">
        <v>6.36</v>
      </c>
      <c r="G211">
        <v>3.89</v>
      </c>
      <c r="H211">
        <v>10511.4223480775</v>
      </c>
      <c r="I211">
        <v>4105.2655151621802</v>
      </c>
      <c r="J211">
        <v>0.76692159768873303</v>
      </c>
      <c r="K211">
        <v>2.8483195755236399</v>
      </c>
      <c r="L211">
        <v>163.23907455012619</v>
      </c>
      <c r="M211">
        <v>74.550128534702324</v>
      </c>
      <c r="N211" s="2"/>
      <c r="O211" s="2"/>
    </row>
    <row r="212" spans="1:23" x14ac:dyDescent="0.35">
      <c r="A212" s="2" t="s">
        <v>146</v>
      </c>
      <c r="B212" s="3" t="s">
        <v>310</v>
      </c>
      <c r="C212" s="3" t="s">
        <v>323</v>
      </c>
      <c r="D212" s="3" t="s">
        <v>310</v>
      </c>
      <c r="E212" s="3" t="s">
        <v>310</v>
      </c>
      <c r="F212">
        <v>6.17</v>
      </c>
      <c r="G212">
        <v>4.04</v>
      </c>
      <c r="H212">
        <v>13724.1208188458</v>
      </c>
      <c r="I212">
        <v>4995.1092452244502</v>
      </c>
      <c r="J212">
        <v>0.84879000490151801</v>
      </c>
      <c r="K212">
        <v>2.4941008459058001</v>
      </c>
      <c r="L212">
        <v>214.10891089109137</v>
      </c>
      <c r="M212">
        <v>217.82178217821669</v>
      </c>
      <c r="N212" s="2"/>
      <c r="O212" s="2"/>
    </row>
    <row r="213" spans="1:23" x14ac:dyDescent="0.35">
      <c r="A213" s="2" t="s">
        <v>147</v>
      </c>
      <c r="B213" s="3" t="s">
        <v>310</v>
      </c>
      <c r="C213" s="3" t="s">
        <v>323</v>
      </c>
      <c r="D213" s="3" t="s">
        <v>310</v>
      </c>
      <c r="E213" s="3" t="s">
        <v>310</v>
      </c>
      <c r="F213">
        <v>4.5999999999999996</v>
      </c>
      <c r="G213">
        <v>3</v>
      </c>
      <c r="H213">
        <v>11094.899070465801</v>
      </c>
      <c r="I213">
        <v>4706.60155969279</v>
      </c>
      <c r="J213">
        <v>0.82571409787576899</v>
      </c>
      <c r="K213">
        <v>2.6082688143333099</v>
      </c>
      <c r="L213">
        <v>241.66666666666478</v>
      </c>
      <c r="M213">
        <v>495.00000000000455</v>
      </c>
      <c r="N213" s="2"/>
      <c r="O213" s="2"/>
    </row>
    <row r="214" spans="1:23" x14ac:dyDescent="0.35">
      <c r="A214" s="2" t="s">
        <v>148</v>
      </c>
      <c r="B214" s="3" t="s">
        <v>310</v>
      </c>
      <c r="C214" s="3" t="s">
        <v>323</v>
      </c>
      <c r="D214" s="3" t="s">
        <v>310</v>
      </c>
      <c r="E214" s="3" t="s">
        <v>310</v>
      </c>
      <c r="F214">
        <v>5.9700000000000006</v>
      </c>
      <c r="G214">
        <v>4.1500000000000004</v>
      </c>
      <c r="H214">
        <v>17050.473327397602</v>
      </c>
      <c r="I214">
        <v>5607.5082259921401</v>
      </c>
      <c r="J214">
        <v>0.83941031015418399</v>
      </c>
      <c r="K214">
        <v>2.3046720833251899</v>
      </c>
      <c r="L214">
        <v>155.42168674698698</v>
      </c>
      <c r="M214">
        <v>267.46987951807557</v>
      </c>
      <c r="N214" s="2"/>
      <c r="O214" s="2"/>
    </row>
    <row r="215" spans="1:23" x14ac:dyDescent="0.35">
      <c r="A215" s="2" t="s">
        <v>149</v>
      </c>
      <c r="B215" s="3" t="s">
        <v>310</v>
      </c>
      <c r="C215" s="3" t="s">
        <v>323</v>
      </c>
      <c r="D215" s="3" t="s">
        <v>310</v>
      </c>
      <c r="E215" s="3" t="s">
        <v>310</v>
      </c>
      <c r="F215">
        <v>5.63</v>
      </c>
      <c r="G215">
        <v>3.89</v>
      </c>
      <c r="H215">
        <v>13367.0355870576</v>
      </c>
      <c r="I215">
        <v>4900.4508543333905</v>
      </c>
      <c r="J215">
        <v>0.84547737609957097</v>
      </c>
      <c r="K215">
        <v>2.2409477056465601</v>
      </c>
      <c r="L215">
        <v>218.50899742930446</v>
      </c>
      <c r="M215">
        <v>248.07197943444817</v>
      </c>
      <c r="N215" s="2">
        <v>-0.43099999999999994</v>
      </c>
      <c r="O215" s="2">
        <v>-0.46299999999999997</v>
      </c>
      <c r="P215" s="2">
        <v>6.2</v>
      </c>
      <c r="Q215">
        <v>117.91540000000001</v>
      </c>
      <c r="R215">
        <v>113.43244351551434</v>
      </c>
      <c r="S215">
        <v>958.21720000000005</v>
      </c>
      <c r="T215">
        <v>11.0344</v>
      </c>
      <c r="U215">
        <v>641</v>
      </c>
      <c r="V215">
        <f t="shared" si="3"/>
        <v>0.66895063039987168</v>
      </c>
      <c r="W215">
        <v>8.6703425806451602</v>
      </c>
    </row>
    <row r="216" spans="1:23" x14ac:dyDescent="0.35">
      <c r="A216" s="2" t="s">
        <v>150</v>
      </c>
      <c r="B216" s="3" t="s">
        <v>310</v>
      </c>
      <c r="C216" s="3" t="s">
        <v>323</v>
      </c>
      <c r="D216" s="3" t="s">
        <v>310</v>
      </c>
      <c r="E216" s="3" t="s">
        <v>310</v>
      </c>
      <c r="F216">
        <v>4.83</v>
      </c>
      <c r="G216">
        <v>3.53</v>
      </c>
      <c r="H216">
        <v>13544.3590062977</v>
      </c>
      <c r="I216">
        <v>4969.1265964224604</v>
      </c>
      <c r="J216">
        <v>0.84827934020218199</v>
      </c>
      <c r="K216">
        <v>2.46429130944371</v>
      </c>
      <c r="L216">
        <v>228.04532577903072</v>
      </c>
      <c r="M216">
        <v>352.6912181303129</v>
      </c>
      <c r="N216" s="2">
        <v>-0.32799999999999996</v>
      </c>
      <c r="O216" s="2">
        <v>-0.501</v>
      </c>
      <c r="P216" s="2">
        <v>6.32</v>
      </c>
      <c r="Q216">
        <v>131.97819999999999</v>
      </c>
      <c r="R216">
        <v>127.21982160315905</v>
      </c>
      <c r="S216">
        <v>785.49739999999997</v>
      </c>
      <c r="T216">
        <v>12.2836</v>
      </c>
      <c r="U216">
        <v>697</v>
      </c>
      <c r="V216">
        <f t="shared" si="3"/>
        <v>0.88733584605117732</v>
      </c>
      <c r="W216">
        <v>7.6173075949367082</v>
      </c>
    </row>
    <row r="217" spans="1:23" x14ac:dyDescent="0.35">
      <c r="A217" s="2" t="s">
        <v>151</v>
      </c>
      <c r="B217" s="3" t="s">
        <v>310</v>
      </c>
      <c r="C217" s="3" t="s">
        <v>323</v>
      </c>
      <c r="D217" s="3" t="s">
        <v>310</v>
      </c>
      <c r="E217" s="3" t="s">
        <v>310</v>
      </c>
      <c r="F217">
        <v>5.31</v>
      </c>
      <c r="G217">
        <v>3.21</v>
      </c>
      <c r="H217">
        <v>13917.697397460501</v>
      </c>
      <c r="I217">
        <v>4894.9140283164097</v>
      </c>
      <c r="J217">
        <v>0.84536470225626403</v>
      </c>
      <c r="K217">
        <v>2.47843391487707</v>
      </c>
      <c r="L217">
        <v>269.47040498442652</v>
      </c>
      <c r="M217">
        <v>366.04361370715981</v>
      </c>
      <c r="N217" s="2">
        <v>-0.34399999999999997</v>
      </c>
      <c r="O217" s="2">
        <v>-0.47699999999999998</v>
      </c>
    </row>
    <row r="218" spans="1:23" x14ac:dyDescent="0.35">
      <c r="A218" s="2" t="s">
        <v>152</v>
      </c>
      <c r="B218" s="3" t="s">
        <v>310</v>
      </c>
      <c r="C218" s="3" t="s">
        <v>323</v>
      </c>
      <c r="D218" s="3" t="s">
        <v>310</v>
      </c>
      <c r="E218" s="3" t="s">
        <v>310</v>
      </c>
      <c r="F218">
        <v>3.67</v>
      </c>
      <c r="G218">
        <v>2.73</v>
      </c>
      <c r="H218">
        <v>10796.8624779452</v>
      </c>
      <c r="I218">
        <v>5512.7883239652401</v>
      </c>
      <c r="J218">
        <v>0.83303681368993499</v>
      </c>
      <c r="K218">
        <v>2.6817535270134898</v>
      </c>
      <c r="L218">
        <v>194.13919413919456</v>
      </c>
      <c r="M218">
        <v>527.47252747252662</v>
      </c>
      <c r="N218" s="2"/>
      <c r="O218" s="2"/>
      <c r="P218" s="2">
        <v>7.88</v>
      </c>
    </row>
    <row r="219" spans="1:23" x14ac:dyDescent="0.35">
      <c r="A219" s="2" t="s">
        <v>153</v>
      </c>
      <c r="B219" s="3" t="s">
        <v>310</v>
      </c>
      <c r="C219" s="3" t="s">
        <v>323</v>
      </c>
      <c r="D219" s="3" t="s">
        <v>310</v>
      </c>
      <c r="E219" s="3" t="s">
        <v>310</v>
      </c>
      <c r="F219">
        <v>4.8600000000000003</v>
      </c>
      <c r="G219">
        <v>3.37</v>
      </c>
      <c r="H219">
        <v>14249.1385472735</v>
      </c>
      <c r="I219">
        <v>7230.3414020083001</v>
      </c>
      <c r="J219">
        <v>0.848772937174193</v>
      </c>
      <c r="K219">
        <v>2.3316574789003899</v>
      </c>
      <c r="L219">
        <v>244.80712166172191</v>
      </c>
      <c r="M219">
        <v>326.40949554895974</v>
      </c>
      <c r="N219" s="2"/>
      <c r="O219" s="2"/>
      <c r="P219" s="2">
        <v>5.84</v>
      </c>
    </row>
    <row r="220" spans="1:23" x14ac:dyDescent="0.35">
      <c r="A220" s="2" t="s">
        <v>154</v>
      </c>
      <c r="B220" s="3" t="s">
        <v>310</v>
      </c>
      <c r="C220" s="3" t="s">
        <v>323</v>
      </c>
      <c r="D220" s="3" t="s">
        <v>310</v>
      </c>
      <c r="E220" s="3" t="s">
        <v>310</v>
      </c>
      <c r="F220">
        <v>5.7799999999999994</v>
      </c>
      <c r="G220">
        <v>4.0199999999999996</v>
      </c>
      <c r="H220">
        <v>13747.956952100199</v>
      </c>
      <c r="I220">
        <v>5963.7795148610703</v>
      </c>
      <c r="J220">
        <v>0.81903269863897299</v>
      </c>
      <c r="K220">
        <v>3.0041629337205</v>
      </c>
      <c r="L220">
        <v>279.85074626865674</v>
      </c>
      <c r="M220">
        <v>206.46766169154543</v>
      </c>
      <c r="N220" s="2"/>
      <c r="O220" s="2"/>
      <c r="P220" s="2">
        <v>4.3600000000000003</v>
      </c>
      <c r="Q220">
        <v>110.0115</v>
      </c>
      <c r="R220">
        <v>182.12986299922656</v>
      </c>
      <c r="S220">
        <v>916.87350000000004</v>
      </c>
      <c r="T220">
        <v>10.922000000000001</v>
      </c>
      <c r="U220">
        <v>574</v>
      </c>
      <c r="V220">
        <f t="shared" si="3"/>
        <v>0.6260405606662206</v>
      </c>
      <c r="W220">
        <v>12.432079816513761</v>
      </c>
    </row>
    <row r="221" spans="1:23" x14ac:dyDescent="0.35">
      <c r="A221" s="2" t="s">
        <v>155</v>
      </c>
      <c r="B221" s="3" t="s">
        <v>310</v>
      </c>
      <c r="C221" s="3" t="s">
        <v>323</v>
      </c>
      <c r="D221" s="3" t="s">
        <v>310</v>
      </c>
      <c r="E221" s="3" t="s">
        <v>310</v>
      </c>
      <c r="F221">
        <v>4.17</v>
      </c>
      <c r="G221">
        <v>2.78</v>
      </c>
      <c r="H221">
        <v>12705.5082930026</v>
      </c>
      <c r="I221">
        <v>6031.8035179408398</v>
      </c>
      <c r="J221">
        <v>0.84911995519072503</v>
      </c>
      <c r="K221">
        <v>1.6416219812758399</v>
      </c>
      <c r="L221">
        <v>303.9568345323737</v>
      </c>
      <c r="M221">
        <v>269.78417266187051</v>
      </c>
      <c r="N221" s="2"/>
      <c r="O221" s="2"/>
    </row>
    <row r="222" spans="1:23" x14ac:dyDescent="0.35">
      <c r="A222" s="2" t="s">
        <v>110</v>
      </c>
      <c r="B222" s="3" t="s">
        <v>311</v>
      </c>
      <c r="C222" s="3" t="s">
        <v>322</v>
      </c>
      <c r="D222" s="3" t="s">
        <v>319</v>
      </c>
      <c r="E222" s="3" t="s">
        <v>319</v>
      </c>
      <c r="F222">
        <v>6.12</v>
      </c>
      <c r="G222">
        <v>3.96</v>
      </c>
      <c r="H222">
        <v>13151.422750367599</v>
      </c>
      <c r="I222">
        <v>4518.3250377102404</v>
      </c>
      <c r="J222">
        <v>0.85641691688168697</v>
      </c>
      <c r="K222">
        <v>2.4593831990366901</v>
      </c>
      <c r="L222">
        <v>213.38383838383811</v>
      </c>
      <c r="M222">
        <v>133.83838383838412</v>
      </c>
      <c r="N222" s="2"/>
      <c r="O222" s="2"/>
      <c r="P222" s="2">
        <v>5.96</v>
      </c>
      <c r="Q222">
        <v>144.18950000000001</v>
      </c>
      <c r="R222">
        <v>188.9933</v>
      </c>
      <c r="S222">
        <v>1148.2756999999999</v>
      </c>
      <c r="T222">
        <v>14.660600000000001</v>
      </c>
      <c r="U222">
        <v>610</v>
      </c>
      <c r="V222">
        <f t="shared" si="3"/>
        <v>0.53123130620982406</v>
      </c>
      <c r="W222">
        <v>11.33349865771812</v>
      </c>
    </row>
    <row r="223" spans="1:23" x14ac:dyDescent="0.35">
      <c r="A223" s="2" t="s">
        <v>111</v>
      </c>
      <c r="B223" s="3" t="s">
        <v>311</v>
      </c>
      <c r="C223" s="3" t="s">
        <v>322</v>
      </c>
      <c r="D223" s="3" t="s">
        <v>319</v>
      </c>
      <c r="E223" s="3" t="s">
        <v>319</v>
      </c>
      <c r="F223">
        <v>6.32</v>
      </c>
      <c r="G223">
        <v>3.87</v>
      </c>
      <c r="H223">
        <v>17559.595281048802</v>
      </c>
      <c r="I223">
        <v>5706.5301860024001</v>
      </c>
      <c r="J223">
        <v>0.84834731679959496</v>
      </c>
      <c r="K223">
        <v>2.37438353376286</v>
      </c>
      <c r="L223">
        <v>187.33850129198819</v>
      </c>
      <c r="M223">
        <v>120.1550387596908</v>
      </c>
      <c r="N223" s="2">
        <v>-0.98699999999999988</v>
      </c>
      <c r="O223" s="2">
        <v>-0.39900000000000002</v>
      </c>
      <c r="P223" s="2">
        <v>4.5999999999999996</v>
      </c>
      <c r="Q223">
        <v>120.7666</v>
      </c>
      <c r="R223">
        <v>175.3682</v>
      </c>
      <c r="S223">
        <v>1019.439</v>
      </c>
      <c r="T223">
        <v>12.097899999999999</v>
      </c>
      <c r="U223">
        <v>737</v>
      </c>
      <c r="V223">
        <f t="shared" si="3"/>
        <v>0.72294664025998612</v>
      </c>
      <c r="W223">
        <v>13.573698260869568</v>
      </c>
    </row>
    <row r="224" spans="1:23" x14ac:dyDescent="0.35">
      <c r="A224" s="2" t="s">
        <v>112</v>
      </c>
      <c r="B224" s="3" t="s">
        <v>311</v>
      </c>
      <c r="C224" s="3" t="s">
        <v>322</v>
      </c>
      <c r="D224" s="3" t="s">
        <v>319</v>
      </c>
      <c r="E224" s="3" t="s">
        <v>319</v>
      </c>
      <c r="F224">
        <v>4.59</v>
      </c>
      <c r="G224">
        <v>2.97</v>
      </c>
      <c r="H224">
        <v>13249.8239978169</v>
      </c>
      <c r="I224">
        <v>6368.1841111070898</v>
      </c>
      <c r="J224">
        <v>0.83694722446829495</v>
      </c>
      <c r="K224">
        <v>2.26131448944545</v>
      </c>
      <c r="L224">
        <v>210.43771043771042</v>
      </c>
      <c r="M224">
        <v>102.69360269360499</v>
      </c>
      <c r="N224" s="2">
        <v>-1.032</v>
      </c>
      <c r="O224" s="2">
        <v>-0.437</v>
      </c>
    </row>
    <row r="225" spans="1:23" x14ac:dyDescent="0.35">
      <c r="A225" s="2" t="s">
        <v>113</v>
      </c>
      <c r="B225" s="3" t="s">
        <v>311</v>
      </c>
      <c r="C225" s="3" t="s">
        <v>322</v>
      </c>
      <c r="D225" s="3" t="s">
        <v>319</v>
      </c>
      <c r="E225" s="3" t="s">
        <v>319</v>
      </c>
      <c r="F225">
        <v>8.5500000000000007</v>
      </c>
      <c r="G225">
        <v>5.86</v>
      </c>
      <c r="H225">
        <v>18844.3472741523</v>
      </c>
      <c r="I225">
        <v>5075.6585678524198</v>
      </c>
      <c r="J225">
        <v>0.71987807431458395</v>
      </c>
      <c r="K225">
        <v>4.0104337702004402</v>
      </c>
      <c r="L225">
        <v>172.35494880546403</v>
      </c>
      <c r="M225">
        <v>106.65529010238907</v>
      </c>
      <c r="N225" s="2"/>
      <c r="O225" s="2"/>
      <c r="P225" s="2">
        <v>8.56</v>
      </c>
    </row>
    <row r="226" spans="1:23" x14ac:dyDescent="0.35">
      <c r="A226" s="2" t="s">
        <v>114</v>
      </c>
      <c r="B226" s="3" t="s">
        <v>311</v>
      </c>
      <c r="C226" s="3" t="s">
        <v>322</v>
      </c>
      <c r="D226" s="3" t="s">
        <v>319</v>
      </c>
      <c r="E226" s="3" t="s">
        <v>319</v>
      </c>
      <c r="F226">
        <v>5.24</v>
      </c>
      <c r="G226">
        <v>3.49</v>
      </c>
      <c r="H226">
        <v>12347.966294186601</v>
      </c>
      <c r="I226">
        <v>6204.8133494332296</v>
      </c>
      <c r="J226">
        <v>0.84332084252982698</v>
      </c>
      <c r="K226">
        <v>2.3832807916110599</v>
      </c>
      <c r="L226">
        <v>206.30372492836642</v>
      </c>
      <c r="M226">
        <v>127.50716332378434</v>
      </c>
      <c r="N226" s="2"/>
      <c r="O226" s="2"/>
      <c r="P226" s="2">
        <v>4.68</v>
      </c>
    </row>
    <row r="227" spans="1:23" x14ac:dyDescent="0.35">
      <c r="A227" s="2" t="s">
        <v>115</v>
      </c>
      <c r="B227" s="3" t="s">
        <v>311</v>
      </c>
      <c r="C227" s="3" t="s">
        <v>322</v>
      </c>
      <c r="D227" s="3" t="s">
        <v>319</v>
      </c>
      <c r="E227" s="3" t="s">
        <v>319</v>
      </c>
      <c r="F227">
        <v>4.3600000000000003</v>
      </c>
      <c r="G227">
        <v>2.79</v>
      </c>
      <c r="H227">
        <v>11346.735461714199</v>
      </c>
      <c r="I227">
        <v>4894.5395994656401</v>
      </c>
      <c r="J227">
        <v>0.82558064333030201</v>
      </c>
      <c r="K227">
        <v>2.4175927575391101</v>
      </c>
      <c r="L227">
        <v>204.30107526881986</v>
      </c>
      <c r="M227">
        <v>57.347670250894836</v>
      </c>
      <c r="N227" s="2"/>
      <c r="O227" s="2"/>
    </row>
    <row r="228" spans="1:23" x14ac:dyDescent="0.35">
      <c r="A228" s="2" t="s">
        <v>116</v>
      </c>
      <c r="B228" s="3" t="s">
        <v>311</v>
      </c>
      <c r="C228" s="3" t="s">
        <v>322</v>
      </c>
      <c r="D228" s="3" t="s">
        <v>319</v>
      </c>
      <c r="E228" s="3" t="s">
        <v>319</v>
      </c>
      <c r="F228">
        <v>4.33</v>
      </c>
      <c r="G228">
        <v>2.68</v>
      </c>
      <c r="H228">
        <v>11392.7970116545</v>
      </c>
      <c r="I228">
        <v>6589.4552111785197</v>
      </c>
      <c r="J228">
        <v>0.84561784682392904</v>
      </c>
      <c r="K228">
        <v>2.71096630912833</v>
      </c>
      <c r="L228">
        <v>199.62686567164582</v>
      </c>
      <c r="M228">
        <v>59.701492537312156</v>
      </c>
      <c r="N228" s="2">
        <v>-1.278</v>
      </c>
      <c r="O228" s="2">
        <v>-0.48899999999999999</v>
      </c>
    </row>
    <row r="229" spans="1:23" x14ac:dyDescent="0.35">
      <c r="A229" s="2" t="s">
        <v>117</v>
      </c>
      <c r="B229" s="3" t="s">
        <v>311</v>
      </c>
      <c r="C229" s="3" t="s">
        <v>322</v>
      </c>
      <c r="D229" s="3" t="s">
        <v>319</v>
      </c>
      <c r="E229" s="3" t="s">
        <v>319</v>
      </c>
      <c r="F229">
        <v>7.68</v>
      </c>
      <c r="G229">
        <v>5.01</v>
      </c>
      <c r="H229">
        <v>17939.0219051112</v>
      </c>
      <c r="I229">
        <v>6473.0800775810403</v>
      </c>
      <c r="J229">
        <v>0.77217425362178005</v>
      </c>
      <c r="K229">
        <v>2.6062551552078301</v>
      </c>
      <c r="L229">
        <v>171.65668662674923</v>
      </c>
      <c r="M229">
        <v>110.77844311377099</v>
      </c>
      <c r="N229" s="2"/>
      <c r="O229" s="2"/>
    </row>
    <row r="230" spans="1:23" x14ac:dyDescent="0.35">
      <c r="A230" s="2" t="s">
        <v>118</v>
      </c>
      <c r="B230" s="3" t="s">
        <v>311</v>
      </c>
      <c r="C230" s="3" t="s">
        <v>322</v>
      </c>
      <c r="D230" s="3" t="s">
        <v>319</v>
      </c>
      <c r="E230" s="3" t="s">
        <v>319</v>
      </c>
      <c r="F230">
        <v>5.73</v>
      </c>
      <c r="G230">
        <v>3.93</v>
      </c>
      <c r="H230">
        <v>12827.9161792165</v>
      </c>
      <c r="I230">
        <v>5826.5984371435998</v>
      </c>
      <c r="J230">
        <v>0.83960581565020098</v>
      </c>
      <c r="K230">
        <v>2.3331772517778102</v>
      </c>
      <c r="L230">
        <v>211.19592875317662</v>
      </c>
      <c r="M230">
        <v>132.31552162849772</v>
      </c>
      <c r="N230" s="2"/>
      <c r="O230" s="2"/>
      <c r="P230" s="2">
        <v>5.12</v>
      </c>
      <c r="Q230">
        <v>165.8048</v>
      </c>
      <c r="R230">
        <v>288.13760000000002</v>
      </c>
      <c r="S230">
        <v>1261.1619000000001</v>
      </c>
      <c r="T230">
        <v>16.389800000000001</v>
      </c>
      <c r="U230">
        <v>821</v>
      </c>
      <c r="V230">
        <f t="shared" si="3"/>
        <v>0.65098699857647135</v>
      </c>
      <c r="W230">
        <v>14.545973437499997</v>
      </c>
    </row>
    <row r="231" spans="1:23" x14ac:dyDescent="0.35">
      <c r="A231" s="2" t="s">
        <v>119</v>
      </c>
      <c r="B231" s="3" t="s">
        <v>311</v>
      </c>
      <c r="C231" s="3" t="s">
        <v>322</v>
      </c>
      <c r="D231" s="3" t="s">
        <v>319</v>
      </c>
      <c r="E231" s="3" t="s">
        <v>319</v>
      </c>
      <c r="F231">
        <v>5.36</v>
      </c>
      <c r="G231">
        <v>3.37</v>
      </c>
      <c r="H231">
        <v>15749.399494957999</v>
      </c>
      <c r="I231">
        <v>5982.8776690142704</v>
      </c>
      <c r="J231">
        <v>0.822292398286945</v>
      </c>
      <c r="K231">
        <v>2.39792788758071</v>
      </c>
      <c r="L231">
        <v>206.23145400593268</v>
      </c>
      <c r="M231">
        <v>129.08011869436268</v>
      </c>
      <c r="N231" s="2"/>
      <c r="O231" s="2"/>
    </row>
    <row r="232" spans="1:23" x14ac:dyDescent="0.35">
      <c r="A232" s="2" t="s">
        <v>256</v>
      </c>
      <c r="B232" s="3" t="s">
        <v>311</v>
      </c>
      <c r="C232" s="3" t="s">
        <v>323</v>
      </c>
      <c r="D232" s="3" t="s">
        <v>319</v>
      </c>
      <c r="E232" s="3" t="s">
        <v>319</v>
      </c>
      <c r="F232">
        <v>5.65</v>
      </c>
      <c r="G232">
        <v>3.69</v>
      </c>
      <c r="H232">
        <v>12776.119714745901</v>
      </c>
      <c r="I232">
        <v>5551.6547482368496</v>
      </c>
      <c r="J232">
        <v>0.84083871484584805</v>
      </c>
      <c r="K232">
        <v>2.1674975702064398</v>
      </c>
      <c r="L232">
        <v>226.28726287262702</v>
      </c>
      <c r="M232">
        <v>250.67750677506314</v>
      </c>
      <c r="N232" s="2"/>
      <c r="O232" s="2"/>
    </row>
    <row r="233" spans="1:23" x14ac:dyDescent="0.35">
      <c r="A233" s="2" t="s">
        <v>257</v>
      </c>
      <c r="B233" s="3" t="s">
        <v>311</v>
      </c>
      <c r="C233" s="3" t="s">
        <v>323</v>
      </c>
      <c r="D233" s="3" t="s">
        <v>319</v>
      </c>
      <c r="E233" s="3" t="s">
        <v>319</v>
      </c>
      <c r="F233">
        <v>6.08</v>
      </c>
      <c r="G233">
        <v>4.0599999999999996</v>
      </c>
      <c r="H233">
        <v>15775.6631365622</v>
      </c>
      <c r="I233">
        <v>6047.1091538995797</v>
      </c>
      <c r="J233">
        <v>0.82629644189461904</v>
      </c>
      <c r="K233">
        <v>2.2667496409086398</v>
      </c>
      <c r="L233">
        <v>246.30541871921184</v>
      </c>
      <c r="M233">
        <v>259.85221674877016</v>
      </c>
      <c r="N233" s="2"/>
      <c r="O233" s="2"/>
      <c r="P233" s="2">
        <v>6.64</v>
      </c>
      <c r="Q233">
        <v>117.1653</v>
      </c>
      <c r="R233">
        <v>159.57942258670437</v>
      </c>
      <c r="S233">
        <v>814.67719999999997</v>
      </c>
      <c r="T233">
        <v>11.620799999999999</v>
      </c>
      <c r="U233">
        <v>542</v>
      </c>
      <c r="V233">
        <f t="shared" si="3"/>
        <v>0.6652941803207455</v>
      </c>
      <c r="W233">
        <v>7.296769879518072</v>
      </c>
    </row>
    <row r="234" spans="1:23" x14ac:dyDescent="0.35">
      <c r="A234" s="2" t="s">
        <v>258</v>
      </c>
      <c r="B234" s="3" t="s">
        <v>311</v>
      </c>
      <c r="C234" s="3" t="s">
        <v>323</v>
      </c>
      <c r="D234" s="3" t="s">
        <v>319</v>
      </c>
      <c r="E234" s="3" t="s">
        <v>319</v>
      </c>
      <c r="F234">
        <v>3.88</v>
      </c>
      <c r="G234">
        <v>2.65</v>
      </c>
      <c r="H234">
        <v>10281.639645130301</v>
      </c>
      <c r="I234">
        <v>4841.9631296361104</v>
      </c>
      <c r="J234">
        <v>0.85274052122060595</v>
      </c>
      <c r="K234">
        <v>2.0898009167590601</v>
      </c>
      <c r="L234">
        <v>343.39622641509305</v>
      </c>
      <c r="M234">
        <v>339.62264150943611</v>
      </c>
      <c r="N234" s="2"/>
      <c r="O234" s="2"/>
    </row>
    <row r="235" spans="1:23" x14ac:dyDescent="0.35">
      <c r="A235" s="2" t="s">
        <v>259</v>
      </c>
      <c r="B235" s="3" t="s">
        <v>311</v>
      </c>
      <c r="C235" s="3" t="s">
        <v>323</v>
      </c>
      <c r="D235" s="3" t="s">
        <v>319</v>
      </c>
      <c r="E235" s="3" t="s">
        <v>319</v>
      </c>
      <c r="F235">
        <v>4.7700000000000005</v>
      </c>
      <c r="G235">
        <v>3.43</v>
      </c>
      <c r="H235">
        <v>12034.0766914255</v>
      </c>
      <c r="I235">
        <v>5521.2098655773598</v>
      </c>
      <c r="J235">
        <v>0.81097111302022895</v>
      </c>
      <c r="K235">
        <v>2.5978752643275702</v>
      </c>
      <c r="L235">
        <v>208.45481049562781</v>
      </c>
      <c r="M235">
        <v>298.83381924198414</v>
      </c>
      <c r="N235" s="2"/>
      <c r="O235" s="2"/>
      <c r="P235" s="2">
        <v>4.16</v>
      </c>
      <c r="Q235">
        <v>119.83580000000001</v>
      </c>
      <c r="R235">
        <v>142.69232576457827</v>
      </c>
      <c r="S235">
        <v>966.32489999999996</v>
      </c>
      <c r="T235">
        <v>12.624000000000001</v>
      </c>
      <c r="U235">
        <v>491</v>
      </c>
      <c r="V235">
        <f t="shared" si="3"/>
        <v>0.50811067788897923</v>
      </c>
      <c r="W235">
        <v>13.221276923076923</v>
      </c>
    </row>
    <row r="236" spans="1:23" x14ac:dyDescent="0.35">
      <c r="A236" s="2" t="s">
        <v>260</v>
      </c>
      <c r="B236" s="3" t="s">
        <v>311</v>
      </c>
      <c r="C236" s="3" t="s">
        <v>323</v>
      </c>
      <c r="D236" s="3" t="s">
        <v>319</v>
      </c>
      <c r="E236" s="3" t="s">
        <v>319</v>
      </c>
      <c r="F236">
        <v>4.5</v>
      </c>
      <c r="G236">
        <v>3.04</v>
      </c>
      <c r="H236">
        <v>12438.211412655501</v>
      </c>
      <c r="I236">
        <v>5917.1149048888301</v>
      </c>
      <c r="J236">
        <v>0.84655685947645098</v>
      </c>
      <c r="K236">
        <v>2.3505398180758998</v>
      </c>
      <c r="L236">
        <v>223.68421052630868</v>
      </c>
      <c r="M236">
        <v>307.56578947368496</v>
      </c>
      <c r="N236" s="2">
        <v>-0.52300000000000002</v>
      </c>
      <c r="O236" s="2">
        <v>-0.65100000000000002</v>
      </c>
      <c r="P236" s="2">
        <v>5.52</v>
      </c>
    </row>
    <row r="237" spans="1:23" x14ac:dyDescent="0.35">
      <c r="A237" s="2" t="s">
        <v>261</v>
      </c>
      <c r="B237" s="3" t="s">
        <v>311</v>
      </c>
      <c r="C237" s="3" t="s">
        <v>323</v>
      </c>
      <c r="D237" s="3" t="s">
        <v>319</v>
      </c>
      <c r="E237" s="3" t="s">
        <v>319</v>
      </c>
      <c r="F237">
        <v>3.61</v>
      </c>
      <c r="G237">
        <v>2.64</v>
      </c>
      <c r="H237">
        <v>8690.3779076241608</v>
      </c>
      <c r="I237">
        <v>3567.5561345851702</v>
      </c>
      <c r="J237">
        <v>0.81655711461176195</v>
      </c>
      <c r="K237">
        <v>2.3362245431158102</v>
      </c>
      <c r="L237">
        <v>316.28787878788177</v>
      </c>
      <c r="M237">
        <v>422.34848484847748</v>
      </c>
      <c r="N237" s="2">
        <v>-0.434</v>
      </c>
      <c r="O237" s="2">
        <v>-0.42599999999999999</v>
      </c>
      <c r="P237" s="2">
        <v>2.8</v>
      </c>
    </row>
    <row r="238" spans="1:23" x14ac:dyDescent="0.35">
      <c r="A238" s="2" t="s">
        <v>262</v>
      </c>
      <c r="B238" s="3" t="s">
        <v>311</v>
      </c>
      <c r="C238" s="3" t="s">
        <v>323</v>
      </c>
      <c r="D238" s="3" t="s">
        <v>319</v>
      </c>
      <c r="E238" s="3" t="s">
        <v>319</v>
      </c>
      <c r="F238">
        <v>5.0600000000000005</v>
      </c>
      <c r="G238">
        <v>3.47</v>
      </c>
      <c r="H238">
        <v>10104.8219630555</v>
      </c>
      <c r="I238">
        <v>5221.4625162628299</v>
      </c>
      <c r="J238">
        <v>0.83601674333697495</v>
      </c>
      <c r="K238">
        <v>2.4502951041605301</v>
      </c>
      <c r="L238">
        <v>317.00288184437875</v>
      </c>
      <c r="M238">
        <v>373.1988472622524</v>
      </c>
      <c r="N238" s="2">
        <v>-0.35899999999999999</v>
      </c>
      <c r="O238" s="2">
        <v>-0.38600000000000001</v>
      </c>
    </row>
    <row r="239" spans="1:23" x14ac:dyDescent="0.35">
      <c r="A239" s="2" t="s">
        <v>263</v>
      </c>
      <c r="B239" s="3" t="s">
        <v>311</v>
      </c>
      <c r="C239" s="3" t="s">
        <v>323</v>
      </c>
      <c r="D239" s="3" t="s">
        <v>319</v>
      </c>
      <c r="E239" s="3" t="s">
        <v>319</v>
      </c>
      <c r="F239">
        <v>6.23</v>
      </c>
      <c r="G239">
        <v>4.4800000000000004</v>
      </c>
      <c r="H239">
        <v>15249.350257659</v>
      </c>
      <c r="I239">
        <v>6761.8297226640998</v>
      </c>
      <c r="J239">
        <v>0.78099259976046997</v>
      </c>
      <c r="K239">
        <v>3.11648157403341</v>
      </c>
      <c r="L239">
        <v>165.17857142857343</v>
      </c>
      <c r="M239">
        <v>239.95535714286092</v>
      </c>
      <c r="N239" s="2"/>
      <c r="O239" s="2"/>
    </row>
    <row r="240" spans="1:23" x14ac:dyDescent="0.35">
      <c r="A240" s="2" t="s">
        <v>264</v>
      </c>
      <c r="B240" s="3" t="s">
        <v>311</v>
      </c>
      <c r="C240" s="3" t="s">
        <v>323</v>
      </c>
      <c r="D240" s="3" t="s">
        <v>319</v>
      </c>
      <c r="E240" s="3" t="s">
        <v>319</v>
      </c>
      <c r="F240">
        <v>4.67</v>
      </c>
      <c r="G240">
        <v>3.09</v>
      </c>
      <c r="H240">
        <v>12488.435288495801</v>
      </c>
      <c r="I240">
        <v>6556.20959427459</v>
      </c>
      <c r="J240">
        <v>0.71357394536167496</v>
      </c>
      <c r="K240">
        <v>3.8118345531867202</v>
      </c>
      <c r="L240">
        <v>231.39158576051892</v>
      </c>
      <c r="M240">
        <v>459.54692556634819</v>
      </c>
      <c r="N240" s="2"/>
      <c r="O240" s="2"/>
    </row>
    <row r="241" spans="1:23" x14ac:dyDescent="0.35">
      <c r="A241" s="2" t="s">
        <v>265</v>
      </c>
      <c r="B241" s="3" t="s">
        <v>311</v>
      </c>
      <c r="C241" s="3" t="s">
        <v>323</v>
      </c>
      <c r="D241" s="3" t="s">
        <v>319</v>
      </c>
      <c r="E241" s="3" t="s">
        <v>319</v>
      </c>
      <c r="F241">
        <v>4.8499999999999996</v>
      </c>
      <c r="G241">
        <v>3.04</v>
      </c>
      <c r="H241">
        <v>12353.061904620999</v>
      </c>
      <c r="I241">
        <v>4313.0310821929197</v>
      </c>
      <c r="J241">
        <v>0.84589113465355303</v>
      </c>
      <c r="K241">
        <v>2.2355923701290701</v>
      </c>
      <c r="L241">
        <v>222.03947368421427</v>
      </c>
      <c r="M241">
        <v>345.39473684209963</v>
      </c>
      <c r="N241" s="2"/>
      <c r="O241" s="2"/>
      <c r="P241" s="2">
        <v>3.88</v>
      </c>
      <c r="Q241">
        <v>71.597999999999999</v>
      </c>
      <c r="R241">
        <v>240.69474795784544</v>
      </c>
      <c r="S241">
        <v>652.34649999999999</v>
      </c>
      <c r="T241">
        <v>6.5369000000000002</v>
      </c>
      <c r="U241">
        <v>526</v>
      </c>
      <c r="V241">
        <f t="shared" si="3"/>
        <v>0.80631995419612124</v>
      </c>
      <c r="W241">
        <v>9.7025350515463931</v>
      </c>
    </row>
    <row r="242" spans="1:23" x14ac:dyDescent="0.35">
      <c r="A242" s="2" t="s">
        <v>130</v>
      </c>
      <c r="B242" s="3" t="s">
        <v>369</v>
      </c>
      <c r="C242" s="3" t="s">
        <v>322</v>
      </c>
      <c r="D242" s="3" t="s">
        <v>319</v>
      </c>
      <c r="E242" s="3" t="s">
        <v>319</v>
      </c>
      <c r="F242">
        <v>6.23</v>
      </c>
      <c r="G242">
        <v>4.05</v>
      </c>
      <c r="H242">
        <v>15788.069516366</v>
      </c>
      <c r="I242">
        <v>6672.5457497234602</v>
      </c>
      <c r="J242">
        <v>0.67779785885215105</v>
      </c>
      <c r="K242">
        <v>3.5596335509023098</v>
      </c>
      <c r="L242">
        <v>256.79012345678819</v>
      </c>
      <c r="M242">
        <v>129.62962962963104</v>
      </c>
      <c r="N242" s="2">
        <v>-0.84800000000000009</v>
      </c>
      <c r="O242" s="2">
        <v>-0.51900000000000002</v>
      </c>
      <c r="P242" s="2">
        <v>7.6</v>
      </c>
      <c r="Q242">
        <v>145.26509999999999</v>
      </c>
      <c r="R242">
        <v>120.3049</v>
      </c>
      <c r="S242">
        <v>1213.7098000000001</v>
      </c>
      <c r="T242">
        <v>14.883900000000001</v>
      </c>
      <c r="U242">
        <v>612</v>
      </c>
      <c r="V242">
        <f t="shared" si="3"/>
        <v>0.50423915173132816</v>
      </c>
      <c r="W242">
        <v>10.129634210526316</v>
      </c>
    </row>
    <row r="243" spans="1:23" x14ac:dyDescent="0.35">
      <c r="A243" s="2" t="s">
        <v>131</v>
      </c>
      <c r="B243" s="3" t="s">
        <v>369</v>
      </c>
      <c r="C243" s="3" t="s">
        <v>322</v>
      </c>
      <c r="D243" s="3" t="s">
        <v>319</v>
      </c>
      <c r="E243" s="3" t="s">
        <v>319</v>
      </c>
      <c r="F243">
        <v>4.82</v>
      </c>
      <c r="G243">
        <v>3.29</v>
      </c>
      <c r="H243">
        <v>10450.927147340901</v>
      </c>
      <c r="I243">
        <v>4998.2798727178297</v>
      </c>
      <c r="J243">
        <v>0.84060679946864703</v>
      </c>
      <c r="K243">
        <v>2.02274018627209</v>
      </c>
      <c r="L243">
        <v>232.52279635258375</v>
      </c>
      <c r="M243">
        <v>60.790273556231867</v>
      </c>
      <c r="N243" s="2">
        <v>-1.2269999999999999</v>
      </c>
      <c r="O243" s="2">
        <v>-0.53700000000000003</v>
      </c>
      <c r="P243" s="2">
        <v>2.68</v>
      </c>
      <c r="Q243">
        <v>79.509200000000007</v>
      </c>
      <c r="R243">
        <v>101.2963</v>
      </c>
      <c r="S243">
        <v>632.50409999999999</v>
      </c>
      <c r="T243">
        <v>7.5964999999999998</v>
      </c>
      <c r="U243">
        <v>591</v>
      </c>
      <c r="V243">
        <f t="shared" si="3"/>
        <v>0.93438129491966926</v>
      </c>
      <c r="W243">
        <v>14.147968656716417</v>
      </c>
    </row>
    <row r="244" spans="1:23" x14ac:dyDescent="0.35">
      <c r="A244" s="2" t="s">
        <v>132</v>
      </c>
      <c r="B244" s="3" t="s">
        <v>369</v>
      </c>
      <c r="C244" s="3" t="s">
        <v>322</v>
      </c>
      <c r="D244" s="3" t="s">
        <v>319</v>
      </c>
      <c r="E244" s="3" t="s">
        <v>319</v>
      </c>
      <c r="F244">
        <v>5.4</v>
      </c>
      <c r="G244">
        <v>3.47</v>
      </c>
      <c r="H244">
        <v>13741.162804854301</v>
      </c>
      <c r="I244">
        <v>5909.2390535219502</v>
      </c>
      <c r="J244">
        <v>0.83343406379520701</v>
      </c>
      <c r="K244">
        <v>2.0638142043322301</v>
      </c>
      <c r="L244">
        <v>247.83861671469722</v>
      </c>
      <c r="M244">
        <v>82.132564841501662</v>
      </c>
      <c r="N244" s="2"/>
      <c r="O244" s="2"/>
    </row>
    <row r="245" spans="1:23" x14ac:dyDescent="0.35">
      <c r="A245" s="2" t="s">
        <v>133</v>
      </c>
      <c r="B245" s="3" t="s">
        <v>369</v>
      </c>
      <c r="C245" s="3" t="s">
        <v>322</v>
      </c>
      <c r="D245" s="3" t="s">
        <v>319</v>
      </c>
      <c r="E245" s="3" t="s">
        <v>319</v>
      </c>
      <c r="F245">
        <v>5.28</v>
      </c>
      <c r="G245">
        <v>3.01</v>
      </c>
      <c r="H245">
        <v>12415.6246771771</v>
      </c>
      <c r="I245">
        <v>6133.9586232459696</v>
      </c>
      <c r="J245">
        <v>0.83059117168304897</v>
      </c>
      <c r="K245">
        <v>1.84703090024033</v>
      </c>
      <c r="L245">
        <v>245.8471760797278</v>
      </c>
      <c r="M245">
        <v>61.461794019934317</v>
      </c>
      <c r="N245" s="2"/>
      <c r="O245" s="2"/>
    </row>
    <row r="246" spans="1:23" x14ac:dyDescent="0.35">
      <c r="A246" s="2" t="s">
        <v>134</v>
      </c>
      <c r="B246" s="3" t="s">
        <v>369</v>
      </c>
      <c r="C246" s="3" t="s">
        <v>322</v>
      </c>
      <c r="D246" s="3" t="s">
        <v>319</v>
      </c>
      <c r="E246" s="3" t="s">
        <v>319</v>
      </c>
      <c r="F246">
        <v>6.9399999999999995</v>
      </c>
      <c r="G246">
        <v>3.54</v>
      </c>
      <c r="H246">
        <v>11202.434093225</v>
      </c>
      <c r="I246">
        <v>6106.8316452843501</v>
      </c>
      <c r="J246">
        <v>0.84796398457600197</v>
      </c>
      <c r="K246">
        <v>2.5924305244660601</v>
      </c>
      <c r="L246">
        <v>244.35028248587827</v>
      </c>
      <c r="M246">
        <v>101.69491525423713</v>
      </c>
      <c r="N246" s="2"/>
      <c r="O246" s="2"/>
    </row>
    <row r="247" spans="1:23" x14ac:dyDescent="0.35">
      <c r="A247" s="2" t="s">
        <v>135</v>
      </c>
      <c r="B247" s="3" t="s">
        <v>369</v>
      </c>
      <c r="C247" s="3" t="s">
        <v>322</v>
      </c>
      <c r="D247" s="3" t="s">
        <v>319</v>
      </c>
      <c r="E247" s="3" t="s">
        <v>319</v>
      </c>
      <c r="F247">
        <v>7.14</v>
      </c>
      <c r="G247">
        <v>4.67</v>
      </c>
      <c r="H247">
        <v>19205.5284315522</v>
      </c>
      <c r="I247">
        <v>5886.7827671313598</v>
      </c>
      <c r="J247">
        <v>0.81525342499322095</v>
      </c>
      <c r="K247">
        <v>2.4039049327011202</v>
      </c>
      <c r="L247">
        <v>225.91006423983015</v>
      </c>
      <c r="M247">
        <v>135.97430406852052</v>
      </c>
      <c r="N247" s="2"/>
      <c r="O247" s="2"/>
      <c r="P247" s="2">
        <v>7.84</v>
      </c>
    </row>
    <row r="248" spans="1:23" x14ac:dyDescent="0.35">
      <c r="A248" s="2" t="s">
        <v>136</v>
      </c>
      <c r="B248" s="3" t="s">
        <v>369</v>
      </c>
      <c r="C248" s="3" t="s">
        <v>322</v>
      </c>
      <c r="D248" s="3" t="s">
        <v>319</v>
      </c>
      <c r="E248" s="3" t="s">
        <v>319</v>
      </c>
      <c r="F248">
        <v>5.83</v>
      </c>
      <c r="G248">
        <v>3.64</v>
      </c>
      <c r="H248">
        <v>14730.786969114901</v>
      </c>
      <c r="I248">
        <v>5340.3370282185397</v>
      </c>
      <c r="J248">
        <v>0.84380076762039902</v>
      </c>
      <c r="K248">
        <v>2.4928176689906798</v>
      </c>
      <c r="L248">
        <v>248.62637362637392</v>
      </c>
      <c r="M248">
        <v>131.86813186813296</v>
      </c>
      <c r="N248" s="2"/>
      <c r="O248" s="2"/>
    </row>
    <row r="249" spans="1:23" x14ac:dyDescent="0.35">
      <c r="A249" s="2" t="s">
        <v>137</v>
      </c>
      <c r="B249" s="3" t="s">
        <v>369</v>
      </c>
      <c r="C249" s="3" t="s">
        <v>322</v>
      </c>
      <c r="D249" s="3" t="s">
        <v>319</v>
      </c>
      <c r="E249" s="3" t="s">
        <v>319</v>
      </c>
      <c r="F249">
        <v>4.83</v>
      </c>
      <c r="G249">
        <v>2.93</v>
      </c>
      <c r="H249">
        <v>12091.9967966969</v>
      </c>
      <c r="I249">
        <v>5500.8022060284702</v>
      </c>
      <c r="J249">
        <v>0.84915150858036004</v>
      </c>
      <c r="K249">
        <v>2.1418472765682601</v>
      </c>
      <c r="L249">
        <v>235.49488054607428</v>
      </c>
      <c r="M249">
        <v>63.139931740615104</v>
      </c>
      <c r="N249" s="2"/>
      <c r="O249" s="2"/>
    </row>
    <row r="250" spans="1:23" x14ac:dyDescent="0.35">
      <c r="A250" s="2" t="s">
        <v>138</v>
      </c>
      <c r="B250" s="3" t="s">
        <v>369</v>
      </c>
      <c r="C250" s="3" t="s">
        <v>322</v>
      </c>
      <c r="D250" s="3" t="s">
        <v>319</v>
      </c>
      <c r="E250" s="3" t="s">
        <v>319</v>
      </c>
      <c r="F250">
        <v>5.88</v>
      </c>
      <c r="G250">
        <v>3.48</v>
      </c>
      <c r="H250">
        <v>14349.465454938199</v>
      </c>
      <c r="I250">
        <v>7532.4442881160703</v>
      </c>
      <c r="J250">
        <v>0.79008859790442598</v>
      </c>
      <c r="K250">
        <v>2.97968307354915</v>
      </c>
      <c r="L250">
        <v>248.56321839080721</v>
      </c>
      <c r="M250">
        <v>84.770114942529233</v>
      </c>
      <c r="N250" s="2">
        <v>-1.163</v>
      </c>
      <c r="O250" s="2">
        <v>-0.53200000000000003</v>
      </c>
      <c r="P250" s="2">
        <v>5.6</v>
      </c>
    </row>
    <row r="251" spans="1:23" x14ac:dyDescent="0.35">
      <c r="A251" s="2" t="s">
        <v>139</v>
      </c>
      <c r="B251" s="3" t="s">
        <v>369</v>
      </c>
      <c r="C251" s="3" t="s">
        <v>322</v>
      </c>
      <c r="D251" s="3" t="s">
        <v>319</v>
      </c>
      <c r="E251" s="3" t="s">
        <v>319</v>
      </c>
      <c r="F251">
        <v>4.47</v>
      </c>
      <c r="G251">
        <v>2.57</v>
      </c>
      <c r="H251">
        <v>8085.37492999597</v>
      </c>
      <c r="I251">
        <v>4350.6172138559004</v>
      </c>
      <c r="J251">
        <v>0.74400249731712897</v>
      </c>
      <c r="K251">
        <v>4.0388624704400904</v>
      </c>
      <c r="L251">
        <v>260.70038910506457</v>
      </c>
      <c r="M251">
        <v>21.400778210113856</v>
      </c>
      <c r="N251" s="2"/>
      <c r="O251" s="2"/>
      <c r="P251" s="2">
        <v>6.52</v>
      </c>
      <c r="Q251">
        <v>80.3673</v>
      </c>
      <c r="R251">
        <v>195.06180000000001</v>
      </c>
      <c r="S251">
        <v>876.32029999999997</v>
      </c>
      <c r="T251">
        <v>8.5488999999999997</v>
      </c>
      <c r="U251">
        <v>561</v>
      </c>
      <c r="V251">
        <f t="shared" si="3"/>
        <v>0.64017688509555237</v>
      </c>
      <c r="W251">
        <v>7.9260515337423314</v>
      </c>
    </row>
    <row r="252" spans="1:23" x14ac:dyDescent="0.35">
      <c r="A252" s="2" t="s">
        <v>276</v>
      </c>
      <c r="B252" s="3" t="s">
        <v>369</v>
      </c>
      <c r="C252" s="3" t="s">
        <v>323</v>
      </c>
      <c r="D252" s="3" t="s">
        <v>319</v>
      </c>
      <c r="E252" s="3" t="s">
        <v>319</v>
      </c>
      <c r="F252">
        <v>6.84</v>
      </c>
      <c r="G252">
        <v>4.2300000000000004</v>
      </c>
      <c r="H252">
        <v>19555.650635798302</v>
      </c>
      <c r="I252">
        <v>5089.3034031308798</v>
      </c>
      <c r="J252">
        <v>0.82037426671925795</v>
      </c>
      <c r="K252">
        <v>1.6988985131729999</v>
      </c>
      <c r="L252">
        <v>205.67375886524928</v>
      </c>
      <c r="M252">
        <v>314.42080378250211</v>
      </c>
      <c r="N252" s="2"/>
      <c r="O252" s="2"/>
    </row>
    <row r="253" spans="1:23" x14ac:dyDescent="0.35">
      <c r="A253" s="2" t="s">
        <v>277</v>
      </c>
      <c r="B253" s="3" t="s">
        <v>369</v>
      </c>
      <c r="C253" s="3" t="s">
        <v>323</v>
      </c>
      <c r="D253" s="3" t="s">
        <v>319</v>
      </c>
      <c r="E253" s="3" t="s">
        <v>319</v>
      </c>
      <c r="F253">
        <v>6.41</v>
      </c>
      <c r="G253">
        <v>3.44</v>
      </c>
      <c r="H253">
        <v>15623.368063546401</v>
      </c>
      <c r="I253">
        <v>5108.0964689623797</v>
      </c>
      <c r="J253">
        <v>0.81324756676537002</v>
      </c>
      <c r="K253">
        <v>2.5257789013004102</v>
      </c>
      <c r="L253">
        <v>289.24418604651294</v>
      </c>
      <c r="M253">
        <v>254.36046511627907</v>
      </c>
      <c r="N253" s="2"/>
      <c r="O253" s="2"/>
    </row>
    <row r="254" spans="1:23" x14ac:dyDescent="0.35">
      <c r="A254" s="2" t="s">
        <v>278</v>
      </c>
      <c r="B254" s="3" t="s">
        <v>369</v>
      </c>
      <c r="C254" s="3" t="s">
        <v>323</v>
      </c>
      <c r="D254" s="3" t="s">
        <v>319</v>
      </c>
      <c r="E254" s="3" t="s">
        <v>319</v>
      </c>
      <c r="F254">
        <v>5.97</v>
      </c>
      <c r="G254">
        <v>3.82</v>
      </c>
      <c r="H254">
        <v>14876.464809646001</v>
      </c>
      <c r="I254">
        <v>5427.9322598174203</v>
      </c>
      <c r="J254">
        <v>0.85006796833634801</v>
      </c>
      <c r="K254">
        <v>2.3237840592525898</v>
      </c>
      <c r="L254">
        <v>217.27748691099805</v>
      </c>
      <c r="M254">
        <v>311.51832460732925</v>
      </c>
      <c r="N254" s="2"/>
      <c r="O254" s="2"/>
      <c r="P254" s="2">
        <v>6.36</v>
      </c>
      <c r="Q254">
        <v>112.9269</v>
      </c>
      <c r="R254">
        <v>87.287909789700279</v>
      </c>
      <c r="S254">
        <v>971.98820000000001</v>
      </c>
      <c r="T254">
        <v>11.4756</v>
      </c>
      <c r="U254">
        <v>565</v>
      </c>
      <c r="V254">
        <f t="shared" si="3"/>
        <v>0.58128277688967833</v>
      </c>
      <c r="W254">
        <v>8.6070301886792446</v>
      </c>
    </row>
    <row r="255" spans="1:23" x14ac:dyDescent="0.35">
      <c r="A255" s="2" t="s">
        <v>279</v>
      </c>
      <c r="B255" s="3" t="s">
        <v>369</v>
      </c>
      <c r="C255" s="3" t="s">
        <v>323</v>
      </c>
      <c r="D255" s="3" t="s">
        <v>319</v>
      </c>
      <c r="E255" s="3" t="s">
        <v>319</v>
      </c>
      <c r="F255">
        <v>4.58</v>
      </c>
      <c r="G255">
        <v>3.13</v>
      </c>
      <c r="H255">
        <v>13738.7282354245</v>
      </c>
      <c r="I255">
        <v>7765.9095953709002</v>
      </c>
      <c r="J255">
        <v>0.85487387455146502</v>
      </c>
      <c r="K255">
        <v>2.34401203592124</v>
      </c>
      <c r="L255">
        <v>324.28115015974913</v>
      </c>
      <c r="M255">
        <v>410.54313099041428</v>
      </c>
      <c r="N255" s="2">
        <v>-0.373</v>
      </c>
      <c r="O255" s="2">
        <v>-0.44000000000000006</v>
      </c>
    </row>
    <row r="256" spans="1:23" x14ac:dyDescent="0.35">
      <c r="A256" s="2" t="s">
        <v>280</v>
      </c>
      <c r="B256" s="3" t="s">
        <v>369</v>
      </c>
      <c r="C256" s="3" t="s">
        <v>323</v>
      </c>
      <c r="D256" s="3" t="s">
        <v>319</v>
      </c>
      <c r="E256" s="3" t="s">
        <v>319</v>
      </c>
      <c r="F256">
        <v>4.79</v>
      </c>
      <c r="G256">
        <v>3.12</v>
      </c>
      <c r="H256">
        <v>11099.994680900199</v>
      </c>
      <c r="I256">
        <v>5221.5103456473198</v>
      </c>
      <c r="J256">
        <v>0.73425100749493599</v>
      </c>
      <c r="K256">
        <v>3.5030900208298301</v>
      </c>
      <c r="L256">
        <v>261.21794871794799</v>
      </c>
      <c r="M256">
        <v>261.21794871794799</v>
      </c>
      <c r="N256" s="2"/>
      <c r="O256" s="2"/>
      <c r="P256" s="2">
        <v>4.76</v>
      </c>
      <c r="Q256">
        <v>174.8399</v>
      </c>
      <c r="R256">
        <v>172.79413592280122</v>
      </c>
      <c r="S256">
        <v>1174.2625</v>
      </c>
      <c r="T256">
        <v>18.712499999999999</v>
      </c>
      <c r="U256">
        <v>683</v>
      </c>
      <c r="V256">
        <f t="shared" si="3"/>
        <v>0.58164166870695433</v>
      </c>
      <c r="W256">
        <v>14.506046218487397</v>
      </c>
    </row>
    <row r="257" spans="1:23" x14ac:dyDescent="0.35">
      <c r="A257" s="2" t="s">
        <v>281</v>
      </c>
      <c r="B257" s="3" t="s">
        <v>369</v>
      </c>
      <c r="C257" s="3" t="s">
        <v>323</v>
      </c>
      <c r="D257" s="3" t="s">
        <v>319</v>
      </c>
      <c r="E257" s="3" t="s">
        <v>319</v>
      </c>
      <c r="F257">
        <v>5.2</v>
      </c>
      <c r="G257">
        <v>3.63</v>
      </c>
      <c r="H257">
        <v>9890.52323534071</v>
      </c>
      <c r="I257">
        <v>5841.8740520521496</v>
      </c>
      <c r="J257">
        <v>0.83516854838726895</v>
      </c>
      <c r="K257">
        <v>2.62044107324988</v>
      </c>
      <c r="L257">
        <v>300.27548209366483</v>
      </c>
      <c r="M257">
        <v>307.16253443525642</v>
      </c>
      <c r="N257" s="2"/>
      <c r="O257" s="2"/>
      <c r="P257" s="2">
        <v>4.8</v>
      </c>
    </row>
    <row r="258" spans="1:23" x14ac:dyDescent="0.35">
      <c r="A258" s="2" t="s">
        <v>282</v>
      </c>
      <c r="B258" s="3" t="s">
        <v>369</v>
      </c>
      <c r="C258" s="3" t="s">
        <v>323</v>
      </c>
      <c r="D258" s="3" t="s">
        <v>319</v>
      </c>
      <c r="E258" s="3" t="s">
        <v>319</v>
      </c>
      <c r="F258">
        <v>5.82</v>
      </c>
      <c r="G258">
        <v>4.07</v>
      </c>
      <c r="H258">
        <v>13589.143760227</v>
      </c>
      <c r="I258">
        <v>6582.14441369213</v>
      </c>
      <c r="J258">
        <v>0.84993937917111995</v>
      </c>
      <c r="K258">
        <v>2.4669116061799001</v>
      </c>
      <c r="L258">
        <v>233.41523341523759</v>
      </c>
      <c r="M258">
        <v>377.14987714987626</v>
      </c>
      <c r="N258" s="2"/>
      <c r="O258" s="2"/>
    </row>
    <row r="259" spans="1:23" x14ac:dyDescent="0.35">
      <c r="A259" s="2" t="s">
        <v>283</v>
      </c>
      <c r="B259" s="3" t="s">
        <v>369</v>
      </c>
      <c r="C259" s="3" t="s">
        <v>323</v>
      </c>
      <c r="D259" s="3" t="s">
        <v>319</v>
      </c>
      <c r="E259" s="3" t="s">
        <v>319</v>
      </c>
      <c r="F259">
        <v>5.35</v>
      </c>
      <c r="G259">
        <v>3.64</v>
      </c>
      <c r="H259">
        <v>9962.3713424662201</v>
      </c>
      <c r="I259">
        <v>6016.72021615227</v>
      </c>
      <c r="J259">
        <v>0.77579919225031901</v>
      </c>
      <c r="K259">
        <v>2.6999937783217298</v>
      </c>
      <c r="L259">
        <v>249.99999999999906</v>
      </c>
      <c r="M259">
        <v>296.70329670329232</v>
      </c>
      <c r="N259" s="2">
        <v>-0.47699999999999998</v>
      </c>
      <c r="O259" s="2">
        <v>-0.499</v>
      </c>
    </row>
    <row r="260" spans="1:23" x14ac:dyDescent="0.35">
      <c r="A260" s="2" t="s">
        <v>284</v>
      </c>
      <c r="B260" s="3" t="s">
        <v>369</v>
      </c>
      <c r="C260" s="3" t="s">
        <v>323</v>
      </c>
      <c r="D260" s="3" t="s">
        <v>319</v>
      </c>
      <c r="E260" s="3" t="s">
        <v>319</v>
      </c>
      <c r="F260">
        <v>3.02</v>
      </c>
      <c r="G260">
        <v>1.94</v>
      </c>
      <c r="H260">
        <v>5279.1090279662903</v>
      </c>
      <c r="I260">
        <v>4680.0787787591898</v>
      </c>
      <c r="J260">
        <v>0.84337496006391899</v>
      </c>
      <c r="K260">
        <v>2.4347349642392002</v>
      </c>
      <c r="L260">
        <v>528.35051546390582</v>
      </c>
      <c r="M260">
        <v>682.98969072165835</v>
      </c>
      <c r="N260" s="2">
        <v>-0.34900000000000003</v>
      </c>
      <c r="O260" s="2">
        <v>-0.47300000000000003</v>
      </c>
      <c r="P260" s="2">
        <v>2.6</v>
      </c>
    </row>
    <row r="261" spans="1:23" x14ac:dyDescent="0.35">
      <c r="A261" s="2" t="s">
        <v>285</v>
      </c>
      <c r="B261" s="3" t="s">
        <v>369</v>
      </c>
      <c r="C261" s="3" t="s">
        <v>323</v>
      </c>
      <c r="D261" s="3" t="s">
        <v>319</v>
      </c>
      <c r="E261" s="3" t="s">
        <v>319</v>
      </c>
      <c r="F261">
        <v>5.89</v>
      </c>
      <c r="G261">
        <v>3.43</v>
      </c>
      <c r="H261">
        <v>12670.348581005101</v>
      </c>
      <c r="I261">
        <v>4611.8635789258296</v>
      </c>
      <c r="J261">
        <v>0.83787505802062501</v>
      </c>
      <c r="K261">
        <v>2.45785584526379</v>
      </c>
      <c r="L261">
        <v>306.12244897958686</v>
      </c>
      <c r="M261">
        <v>411.07871720116515</v>
      </c>
      <c r="N261" s="2"/>
      <c r="O261" s="2"/>
      <c r="P261" s="2">
        <v>5.56</v>
      </c>
      <c r="Q261">
        <v>59.145000000000003</v>
      </c>
      <c r="R261">
        <v>150.90284857358611</v>
      </c>
      <c r="S261">
        <v>599.44600000000003</v>
      </c>
      <c r="T261">
        <v>6.6210000000000004</v>
      </c>
      <c r="U261">
        <v>386</v>
      </c>
      <c r="V261">
        <f t="shared" ref="V261:V281" si="4">+U261/S261</f>
        <v>0.64392789342159262</v>
      </c>
      <c r="W261">
        <v>6.9623956834532379</v>
      </c>
    </row>
    <row r="262" spans="1:23" x14ac:dyDescent="0.35">
      <c r="A262" s="2" t="s">
        <v>120</v>
      </c>
      <c r="B262" s="3" t="s">
        <v>368</v>
      </c>
      <c r="C262" s="3" t="s">
        <v>322</v>
      </c>
      <c r="D262" s="3" t="s">
        <v>319</v>
      </c>
      <c r="E262" s="3" t="s">
        <v>319</v>
      </c>
      <c r="F262">
        <v>7.03</v>
      </c>
      <c r="G262">
        <v>4.5599999999999996</v>
      </c>
      <c r="H262">
        <v>4007.2241642087401</v>
      </c>
      <c r="I262">
        <v>8213.9788547175194</v>
      </c>
      <c r="J262">
        <v>0.75817719455421495</v>
      </c>
      <c r="K262">
        <v>3.90774412836979</v>
      </c>
      <c r="L262">
        <v>201.75438596490955</v>
      </c>
      <c r="M262">
        <v>177.63157894736892</v>
      </c>
      <c r="N262" s="2"/>
      <c r="O262" s="2"/>
      <c r="P262" s="2">
        <v>8.08</v>
      </c>
      <c r="Q262">
        <v>158.43180000000001</v>
      </c>
      <c r="R262">
        <v>215.51580000000001</v>
      </c>
      <c r="S262">
        <v>966.40530000000001</v>
      </c>
      <c r="T262">
        <v>14.652200000000001</v>
      </c>
      <c r="U262">
        <v>896</v>
      </c>
      <c r="V262">
        <f t="shared" si="4"/>
        <v>0.92714723315362613</v>
      </c>
      <c r="W262">
        <v>7.5835143564356429</v>
      </c>
    </row>
    <row r="263" spans="1:23" x14ac:dyDescent="0.35">
      <c r="A263" s="2" t="s">
        <v>121</v>
      </c>
      <c r="B263" s="3" t="s">
        <v>368</v>
      </c>
      <c r="C263" s="3" t="s">
        <v>322</v>
      </c>
      <c r="D263" s="3" t="s">
        <v>319</v>
      </c>
      <c r="E263" s="3" t="s">
        <v>319</v>
      </c>
      <c r="F263">
        <v>5</v>
      </c>
      <c r="G263">
        <v>3.08</v>
      </c>
      <c r="H263">
        <v>11462.7850401216</v>
      </c>
      <c r="I263">
        <v>5361.2370839887899</v>
      </c>
      <c r="J263">
        <v>0.76266198658968798</v>
      </c>
      <c r="K263">
        <v>3.6401237106073698</v>
      </c>
      <c r="L263">
        <v>217.53246753246347</v>
      </c>
      <c r="M263">
        <v>116.8831168831167</v>
      </c>
      <c r="N263" s="2"/>
      <c r="O263" s="2"/>
      <c r="P263" s="2">
        <v>7.04</v>
      </c>
      <c r="Q263">
        <v>112.9559</v>
      </c>
      <c r="R263">
        <v>90.476799999999997</v>
      </c>
      <c r="S263">
        <v>1070.5994000000001</v>
      </c>
      <c r="T263">
        <v>10.0291</v>
      </c>
      <c r="U263">
        <v>616</v>
      </c>
      <c r="V263">
        <f t="shared" si="4"/>
        <v>0.57537861500763032</v>
      </c>
      <c r="W263">
        <v>8.7097142045454543</v>
      </c>
    </row>
    <row r="264" spans="1:23" x14ac:dyDescent="0.35">
      <c r="A264" s="2" t="s">
        <v>122</v>
      </c>
      <c r="B264" s="3" t="s">
        <v>368</v>
      </c>
      <c r="C264" s="3" t="s">
        <v>322</v>
      </c>
      <c r="D264" s="3" t="s">
        <v>319</v>
      </c>
      <c r="E264" s="3" t="s">
        <v>319</v>
      </c>
      <c r="F264">
        <v>5.04</v>
      </c>
      <c r="G264">
        <v>3.28</v>
      </c>
      <c r="H264">
        <v>12140.296269689101</v>
      </c>
      <c r="I264">
        <v>4846.1585287608796</v>
      </c>
      <c r="J264">
        <v>0.84167098291299403</v>
      </c>
      <c r="K264">
        <v>2.20082909873563</v>
      </c>
      <c r="L264">
        <v>243.90243902439371</v>
      </c>
      <c r="M264">
        <v>155.48780487805035</v>
      </c>
      <c r="N264" s="2">
        <v>-0.94199999999999995</v>
      </c>
      <c r="O264" s="2">
        <v>-0.52100000000000002</v>
      </c>
    </row>
    <row r="265" spans="1:23" x14ac:dyDescent="0.35">
      <c r="A265" s="2" t="s">
        <v>123</v>
      </c>
      <c r="B265" s="3" t="s">
        <v>368</v>
      </c>
      <c r="C265" s="3" t="s">
        <v>322</v>
      </c>
      <c r="D265" s="3" t="s">
        <v>319</v>
      </c>
      <c r="E265" s="3" t="s">
        <v>319</v>
      </c>
      <c r="F265">
        <v>5.12</v>
      </c>
      <c r="G265">
        <v>3.6</v>
      </c>
      <c r="H265">
        <v>14191.4708376444</v>
      </c>
      <c r="I265">
        <v>5538.0240408391001</v>
      </c>
      <c r="J265">
        <v>0.80339121204018804</v>
      </c>
      <c r="K265">
        <v>2.61861940012512</v>
      </c>
      <c r="L265">
        <v>233.33333333333428</v>
      </c>
      <c r="M265">
        <v>143.05555555555571</v>
      </c>
      <c r="N265" s="2"/>
      <c r="O265" s="2"/>
    </row>
    <row r="266" spans="1:23" x14ac:dyDescent="0.35">
      <c r="A266" s="2" t="s">
        <v>124</v>
      </c>
      <c r="B266" s="3" t="s">
        <v>368</v>
      </c>
      <c r="C266" s="3" t="s">
        <v>322</v>
      </c>
      <c r="D266" s="3" t="s">
        <v>319</v>
      </c>
      <c r="E266" s="3" t="s">
        <v>319</v>
      </c>
      <c r="F266">
        <v>5.68</v>
      </c>
      <c r="G266">
        <v>3.79</v>
      </c>
      <c r="H266">
        <v>12273.154899999499</v>
      </c>
      <c r="I266">
        <v>5858.1151149820798</v>
      </c>
      <c r="J266">
        <v>0.84504745596608399</v>
      </c>
      <c r="K266">
        <v>2.53289230454949</v>
      </c>
      <c r="L266">
        <v>232.18997361477452</v>
      </c>
      <c r="M266">
        <v>171.5039577836389</v>
      </c>
      <c r="N266" s="2">
        <v>-0.8859999999999999</v>
      </c>
      <c r="O266" s="2">
        <v>-0.45999999999999996</v>
      </c>
    </row>
    <row r="267" spans="1:23" x14ac:dyDescent="0.35">
      <c r="A267" s="2" t="s">
        <v>125</v>
      </c>
      <c r="B267" s="3" t="s">
        <v>368</v>
      </c>
      <c r="C267" s="3" t="s">
        <v>322</v>
      </c>
      <c r="D267" s="3" t="s">
        <v>319</v>
      </c>
      <c r="E267" s="3" t="s">
        <v>319</v>
      </c>
      <c r="F267">
        <v>5.46</v>
      </c>
      <c r="G267">
        <v>3.14</v>
      </c>
      <c r="H267">
        <v>12427.930685310001</v>
      </c>
      <c r="I267">
        <v>5146.4968264290401</v>
      </c>
      <c r="J267">
        <v>0.84731299643258895</v>
      </c>
      <c r="K267">
        <v>2.17758091704497</v>
      </c>
      <c r="L267">
        <v>216.5605095541423</v>
      </c>
      <c r="M267">
        <v>130.57324840764221</v>
      </c>
      <c r="N267" s="2"/>
      <c r="O267" s="2"/>
      <c r="P267" s="2">
        <v>6</v>
      </c>
    </row>
    <row r="268" spans="1:23" x14ac:dyDescent="0.35">
      <c r="A268" s="2" t="s">
        <v>126</v>
      </c>
      <c r="B268" s="3" t="s">
        <v>368</v>
      </c>
      <c r="C268" s="3" t="s">
        <v>322</v>
      </c>
      <c r="D268" s="3" t="s">
        <v>319</v>
      </c>
      <c r="E268" s="3" t="s">
        <v>319</v>
      </c>
      <c r="F268">
        <v>6.51</v>
      </c>
      <c r="G268">
        <v>4.33</v>
      </c>
      <c r="H268">
        <v>16220.2338990997</v>
      </c>
      <c r="I268">
        <v>6745.1847552371601</v>
      </c>
      <c r="J268">
        <v>0.85051872063415002</v>
      </c>
      <c r="K268">
        <v>2.2927476898413199</v>
      </c>
      <c r="L268">
        <v>210.16166281755116</v>
      </c>
      <c r="M268">
        <v>163.97228637413249</v>
      </c>
      <c r="N268" s="2"/>
      <c r="O268" s="2"/>
      <c r="P268" s="2">
        <v>5.84</v>
      </c>
    </row>
    <row r="269" spans="1:23" x14ac:dyDescent="0.35">
      <c r="A269" s="2" t="s">
        <v>127</v>
      </c>
      <c r="B269" s="3" t="s">
        <v>368</v>
      </c>
      <c r="C269" s="3" t="s">
        <v>322</v>
      </c>
      <c r="D269" s="3" t="s">
        <v>319</v>
      </c>
      <c r="E269" s="3" t="s">
        <v>319</v>
      </c>
      <c r="F269">
        <v>4.59</v>
      </c>
      <c r="G269">
        <v>2.92</v>
      </c>
      <c r="H269">
        <v>9252.6094268434208</v>
      </c>
      <c r="I269">
        <v>6938.3730051459597</v>
      </c>
      <c r="J269">
        <v>0.71859812345906204</v>
      </c>
      <c r="K269">
        <v>3.9656110724796498</v>
      </c>
      <c r="L269">
        <v>198.63013698630564</v>
      </c>
      <c r="M269">
        <v>102.73972602739629</v>
      </c>
      <c r="N269" s="2">
        <v>-1.256</v>
      </c>
      <c r="O269" s="2">
        <v>-0.55199999999999994</v>
      </c>
    </row>
    <row r="270" spans="1:23" x14ac:dyDescent="0.35">
      <c r="A270" s="2" t="s">
        <v>128</v>
      </c>
      <c r="B270" s="3" t="s">
        <v>368</v>
      </c>
      <c r="C270" s="3" t="s">
        <v>322</v>
      </c>
      <c r="D270" s="3" t="s">
        <v>319</v>
      </c>
      <c r="E270" s="3" t="s">
        <v>319</v>
      </c>
      <c r="F270">
        <v>5.16</v>
      </c>
      <c r="G270">
        <v>3.73</v>
      </c>
      <c r="H270">
        <v>14431.504782932499</v>
      </c>
      <c r="I270">
        <v>5432.5408763754804</v>
      </c>
      <c r="J270">
        <v>0.84782197667659398</v>
      </c>
      <c r="K270">
        <v>2.8718955989535599</v>
      </c>
      <c r="L270">
        <v>233.24396782841944</v>
      </c>
      <c r="M270">
        <v>162.19839142090879</v>
      </c>
      <c r="N270" s="2"/>
      <c r="O270" s="2"/>
    </row>
    <row r="271" spans="1:23" x14ac:dyDescent="0.35">
      <c r="A271" s="2" t="s">
        <v>129</v>
      </c>
      <c r="B271" s="3" t="s">
        <v>368</v>
      </c>
      <c r="C271" s="3" t="s">
        <v>322</v>
      </c>
      <c r="D271" s="3" t="s">
        <v>319</v>
      </c>
      <c r="E271" s="3" t="s">
        <v>319</v>
      </c>
      <c r="F271">
        <v>4.41</v>
      </c>
      <c r="G271">
        <v>2.86</v>
      </c>
      <c r="H271">
        <v>10365.2642741487</v>
      </c>
      <c r="I271">
        <v>3804.1776912846599</v>
      </c>
      <c r="J271">
        <v>0.84180611519819604</v>
      </c>
      <c r="K271">
        <v>2.0453231149549498</v>
      </c>
      <c r="L271">
        <v>183.56643356643556</v>
      </c>
      <c r="M271">
        <v>27.972027972027377</v>
      </c>
      <c r="N271" s="2"/>
      <c r="O271" s="2"/>
      <c r="P271" s="2">
        <v>5.96</v>
      </c>
      <c r="Q271">
        <v>142.81440000000001</v>
      </c>
      <c r="R271">
        <v>193.98390000000001</v>
      </c>
      <c r="S271">
        <v>863.11469999999997</v>
      </c>
      <c r="T271">
        <v>13.992800000000001</v>
      </c>
      <c r="U271">
        <v>667</v>
      </c>
      <c r="V271">
        <f t="shared" si="4"/>
        <v>0.77278257455237409</v>
      </c>
      <c r="W271">
        <v>9.1638885906040279</v>
      </c>
    </row>
    <row r="272" spans="1:23" x14ac:dyDescent="0.35">
      <c r="A272" s="2" t="s">
        <v>266</v>
      </c>
      <c r="B272" s="3" t="s">
        <v>368</v>
      </c>
      <c r="C272" s="3" t="s">
        <v>323</v>
      </c>
      <c r="D272" s="3" t="s">
        <v>319</v>
      </c>
      <c r="E272" s="3" t="s">
        <v>319</v>
      </c>
      <c r="F272">
        <v>5.43</v>
      </c>
      <c r="G272">
        <v>3.52</v>
      </c>
      <c r="H272">
        <v>14531.208893766299</v>
      </c>
      <c r="I272">
        <v>4281.4191080931496</v>
      </c>
      <c r="J272">
        <v>0.831321440738645</v>
      </c>
      <c r="K272">
        <v>2.4447061321297099</v>
      </c>
      <c r="L272">
        <v>296.87499999999642</v>
      </c>
      <c r="M272">
        <v>460.22727272726593</v>
      </c>
      <c r="N272" s="2"/>
      <c r="O272" s="2"/>
      <c r="P272" s="2">
        <v>5.96</v>
      </c>
      <c r="Q272">
        <v>88.788200000000003</v>
      </c>
      <c r="R272">
        <v>76.763875623365081</v>
      </c>
      <c r="S272">
        <v>893.34799999999996</v>
      </c>
      <c r="T272">
        <v>9.3767999999999994</v>
      </c>
      <c r="U272">
        <v>565</v>
      </c>
      <c r="V272">
        <f t="shared" si="4"/>
        <v>0.6324523030218907</v>
      </c>
      <c r="W272">
        <v>8.6587026845637585</v>
      </c>
    </row>
    <row r="273" spans="1:23" x14ac:dyDescent="0.35">
      <c r="A273" s="2" t="s">
        <v>267</v>
      </c>
      <c r="B273" s="3" t="s">
        <v>368</v>
      </c>
      <c r="C273" s="3" t="s">
        <v>323</v>
      </c>
      <c r="D273" s="3" t="s">
        <v>319</v>
      </c>
      <c r="E273" s="3" t="s">
        <v>319</v>
      </c>
      <c r="F273">
        <v>6.75</v>
      </c>
      <c r="G273">
        <v>5.29</v>
      </c>
      <c r="H273">
        <v>12097.318878706201</v>
      </c>
      <c r="I273">
        <v>5223.7339996417904</v>
      </c>
      <c r="J273">
        <v>0.67516403927555102</v>
      </c>
      <c r="K273">
        <v>3.6989324258401899</v>
      </c>
      <c r="L273">
        <v>206.99432892249507</v>
      </c>
      <c r="M273">
        <v>226.84310018903378</v>
      </c>
      <c r="N273" s="2">
        <v>-0.40800000000000003</v>
      </c>
      <c r="O273" s="2">
        <v>-0.49099999999999999</v>
      </c>
    </row>
    <row r="274" spans="1:23" x14ac:dyDescent="0.35">
      <c r="A274" s="2" t="s">
        <v>268</v>
      </c>
      <c r="B274" s="3" t="s">
        <v>368</v>
      </c>
      <c r="C274" s="3" t="s">
        <v>323</v>
      </c>
      <c r="D274" s="3" t="s">
        <v>319</v>
      </c>
      <c r="E274" s="3" t="s">
        <v>319</v>
      </c>
      <c r="F274">
        <v>4.16</v>
      </c>
      <c r="G274">
        <v>2.72</v>
      </c>
      <c r="H274">
        <v>7677.8393310287602</v>
      </c>
      <c r="I274">
        <v>4963.6485531196004</v>
      </c>
      <c r="J274">
        <v>0.84812390254798697</v>
      </c>
      <c r="K274">
        <v>2.1407706904661201</v>
      </c>
      <c r="L274">
        <v>330.88235294117851</v>
      </c>
      <c r="M274">
        <v>593.7500000000033</v>
      </c>
      <c r="N274" s="2"/>
      <c r="O274" s="2"/>
    </row>
    <row r="275" spans="1:23" x14ac:dyDescent="0.35">
      <c r="A275" s="2" t="s">
        <v>269</v>
      </c>
      <c r="B275" s="3" t="s">
        <v>368</v>
      </c>
      <c r="C275" s="3" t="s">
        <v>323</v>
      </c>
      <c r="D275" s="3" t="s">
        <v>319</v>
      </c>
      <c r="E275" s="3" t="s">
        <v>319</v>
      </c>
      <c r="F275">
        <v>5.17</v>
      </c>
      <c r="G275">
        <v>3.52</v>
      </c>
      <c r="H275">
        <v>13550.303885137901</v>
      </c>
      <c r="I275">
        <v>6468.5911519662995</v>
      </c>
      <c r="J275">
        <v>0.84166738205972602</v>
      </c>
      <c r="K275">
        <v>2.3079839253982901</v>
      </c>
      <c r="L275">
        <v>268.4659090909152</v>
      </c>
      <c r="M275">
        <v>357.95454545454288</v>
      </c>
      <c r="N275" s="2"/>
      <c r="O275" s="2"/>
      <c r="P275" s="2">
        <v>5</v>
      </c>
      <c r="Q275">
        <v>146.42140000000001</v>
      </c>
      <c r="R275">
        <v>145.85782030392178</v>
      </c>
      <c r="S275">
        <v>1263.7514000000001</v>
      </c>
      <c r="T275">
        <v>14.170400000000001</v>
      </c>
      <c r="U275">
        <v>779</v>
      </c>
      <c r="V275">
        <f t="shared" si="4"/>
        <v>0.61641870386849817</v>
      </c>
      <c r="W275">
        <v>14.663119200000001</v>
      </c>
    </row>
    <row r="276" spans="1:23" x14ac:dyDescent="0.35">
      <c r="A276" s="2" t="s">
        <v>270</v>
      </c>
      <c r="B276" s="3" t="s">
        <v>368</v>
      </c>
      <c r="C276" s="3" t="s">
        <v>323</v>
      </c>
      <c r="D276" s="3" t="s">
        <v>319</v>
      </c>
      <c r="E276" s="3" t="s">
        <v>319</v>
      </c>
      <c r="F276">
        <v>6.58</v>
      </c>
      <c r="G276">
        <v>4.57</v>
      </c>
      <c r="H276">
        <v>12251.829110657</v>
      </c>
      <c r="I276">
        <v>6129.9560802188598</v>
      </c>
      <c r="J276">
        <v>0.79510811554940697</v>
      </c>
      <c r="K276">
        <v>3.1410395722336002</v>
      </c>
      <c r="L276">
        <v>202.40700218818628</v>
      </c>
      <c r="M276">
        <v>343.54485776805097</v>
      </c>
      <c r="N276" s="2"/>
      <c r="O276" s="2"/>
      <c r="P276" s="2">
        <v>5.84</v>
      </c>
    </row>
    <row r="277" spans="1:23" x14ac:dyDescent="0.35">
      <c r="A277" s="2" t="s">
        <v>271</v>
      </c>
      <c r="B277" s="3" t="s">
        <v>368</v>
      </c>
      <c r="C277" s="3" t="s">
        <v>323</v>
      </c>
      <c r="D277" s="3" t="s">
        <v>319</v>
      </c>
      <c r="E277" s="3" t="s">
        <v>319</v>
      </c>
      <c r="F277">
        <v>4.87</v>
      </c>
      <c r="G277">
        <v>3.1</v>
      </c>
      <c r="H277">
        <v>13672.994860820299</v>
      </c>
      <c r="I277">
        <v>5756.0262925514398</v>
      </c>
      <c r="J277">
        <v>0.839798842310295</v>
      </c>
      <c r="K277">
        <v>2.6850897802435401</v>
      </c>
      <c r="L277">
        <v>258.06451612902674</v>
      </c>
      <c r="M277">
        <v>422.58064516129105</v>
      </c>
      <c r="N277" s="2"/>
      <c r="O277" s="2"/>
    </row>
    <row r="278" spans="1:23" x14ac:dyDescent="0.35">
      <c r="A278" s="2" t="s">
        <v>272</v>
      </c>
      <c r="B278" s="3" t="s">
        <v>368</v>
      </c>
      <c r="C278" s="3" t="s">
        <v>323</v>
      </c>
      <c r="D278" s="3" t="s">
        <v>319</v>
      </c>
      <c r="E278" s="3" t="s">
        <v>319</v>
      </c>
      <c r="F278">
        <v>5.27</v>
      </c>
      <c r="G278">
        <v>3.86</v>
      </c>
      <c r="H278">
        <v>9709.7989185994902</v>
      </c>
      <c r="I278">
        <v>5968.10385025918</v>
      </c>
      <c r="J278">
        <v>0.69343607157742404</v>
      </c>
      <c r="K278">
        <v>3.85715826599291</v>
      </c>
      <c r="L278">
        <v>322.53886010362811</v>
      </c>
      <c r="M278">
        <v>303.10880829015218</v>
      </c>
      <c r="N278" s="2">
        <v>-0.52200000000000002</v>
      </c>
      <c r="O278" s="2">
        <v>-0.42800000000000005</v>
      </c>
    </row>
    <row r="279" spans="1:23" x14ac:dyDescent="0.35">
      <c r="A279" s="2" t="s">
        <v>273</v>
      </c>
      <c r="B279" s="3" t="s">
        <v>368</v>
      </c>
      <c r="C279" s="3" t="s">
        <v>323</v>
      </c>
      <c r="D279" s="3" t="s">
        <v>319</v>
      </c>
      <c r="E279" s="3" t="s">
        <v>319</v>
      </c>
      <c r="F279">
        <v>7.02</v>
      </c>
      <c r="G279">
        <v>4.63</v>
      </c>
      <c r="H279">
        <v>16394.730247532101</v>
      </c>
      <c r="I279">
        <v>6745.9760520293803</v>
      </c>
      <c r="J279">
        <v>0.84064445036683</v>
      </c>
      <c r="K279">
        <v>2.0451676936103298</v>
      </c>
      <c r="L279">
        <v>170.62634989200691</v>
      </c>
      <c r="M279">
        <v>263.49892008639284</v>
      </c>
      <c r="N279" s="2"/>
      <c r="O279" s="2"/>
    </row>
    <row r="280" spans="1:23" x14ac:dyDescent="0.35">
      <c r="A280" s="2" t="s">
        <v>274</v>
      </c>
      <c r="B280" s="3" t="s">
        <v>368</v>
      </c>
      <c r="C280" s="3" t="s">
        <v>323</v>
      </c>
      <c r="D280" s="3" t="s">
        <v>319</v>
      </c>
      <c r="E280" s="3" t="s">
        <v>319</v>
      </c>
      <c r="F280">
        <v>6.83</v>
      </c>
      <c r="G280">
        <v>3.72</v>
      </c>
      <c r="H280">
        <v>13878.1781076468</v>
      </c>
      <c r="I280">
        <v>4521.8635731836603</v>
      </c>
      <c r="J280">
        <v>0.83528256972151904</v>
      </c>
      <c r="K280">
        <v>2.36650544853652</v>
      </c>
      <c r="L280">
        <v>297.0430107526854</v>
      </c>
      <c r="M280">
        <v>397.84946236558864</v>
      </c>
      <c r="N280" s="2"/>
      <c r="O280" s="2"/>
      <c r="P280" s="2">
        <v>6.76</v>
      </c>
    </row>
    <row r="281" spans="1:23" x14ac:dyDescent="0.35">
      <c r="A281" s="2" t="s">
        <v>275</v>
      </c>
      <c r="B281" s="3" t="s">
        <v>368</v>
      </c>
      <c r="C281" s="3" t="s">
        <v>323</v>
      </c>
      <c r="D281" s="3" t="s">
        <v>319</v>
      </c>
      <c r="E281" s="3" t="s">
        <v>319</v>
      </c>
      <c r="F281">
        <v>6.77</v>
      </c>
      <c r="G281">
        <v>4.63</v>
      </c>
      <c r="H281">
        <v>15854.3690699074</v>
      </c>
      <c r="I281">
        <v>5013.4049096142999</v>
      </c>
      <c r="J281">
        <v>0.83188478130586596</v>
      </c>
      <c r="K281">
        <v>2.1307236958410098</v>
      </c>
      <c r="L281">
        <v>168.46652267818598</v>
      </c>
      <c r="M281">
        <v>328.29373650108215</v>
      </c>
      <c r="N281" s="2">
        <v>-0.379</v>
      </c>
      <c r="O281" s="2">
        <v>-0.52200000000000002</v>
      </c>
      <c r="P281" s="2">
        <v>6.4</v>
      </c>
      <c r="Q281">
        <v>125.8817</v>
      </c>
      <c r="R281">
        <v>208.41395719338362</v>
      </c>
      <c r="S281">
        <v>1001.4212</v>
      </c>
      <c r="T281">
        <v>12.6563</v>
      </c>
      <c r="U281">
        <v>596</v>
      </c>
      <c r="V281">
        <f t="shared" si="4"/>
        <v>0.5951541668980046</v>
      </c>
      <c r="W281">
        <v>9.350465625</v>
      </c>
    </row>
  </sheetData>
  <sortState ref="A2:AM281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topLeftCell="A10" workbookViewId="0">
      <selection activeCell="B16" sqref="B16"/>
    </sheetView>
  </sheetViews>
  <sheetFormatPr defaultRowHeight="14.5" x14ac:dyDescent="0.35"/>
  <cols>
    <col min="1" max="1" width="22" bestFit="1" customWidth="1"/>
  </cols>
  <sheetData>
    <row r="2" spans="1:2" x14ac:dyDescent="0.35">
      <c r="A2" t="s">
        <v>145</v>
      </c>
      <c r="B2" t="s">
        <v>321</v>
      </c>
    </row>
    <row r="3" spans="1:2" x14ac:dyDescent="0.35">
      <c r="A3" t="s">
        <v>300</v>
      </c>
      <c r="B3" t="s">
        <v>374</v>
      </c>
    </row>
    <row r="4" spans="1:2" x14ac:dyDescent="0.35">
      <c r="A4" t="s">
        <v>286</v>
      </c>
      <c r="B4" t="s">
        <v>324</v>
      </c>
    </row>
    <row r="5" spans="1:2" x14ac:dyDescent="0.35">
      <c r="A5" t="s">
        <v>312</v>
      </c>
      <c r="B5" t="s">
        <v>325</v>
      </c>
    </row>
    <row r="6" spans="1:2" x14ac:dyDescent="0.35">
      <c r="A6" t="s">
        <v>313</v>
      </c>
      <c r="B6" t="s">
        <v>326</v>
      </c>
    </row>
    <row r="7" spans="1:2" x14ac:dyDescent="0.35">
      <c r="A7" t="s">
        <v>140</v>
      </c>
      <c r="B7" t="s">
        <v>327</v>
      </c>
    </row>
    <row r="8" spans="1:2" x14ac:dyDescent="0.35">
      <c r="A8" t="s">
        <v>295</v>
      </c>
      <c r="B8" t="s">
        <v>328</v>
      </c>
    </row>
    <row r="9" spans="1:2" x14ac:dyDescent="0.35">
      <c r="A9" t="s">
        <v>141</v>
      </c>
      <c r="B9" t="s">
        <v>330</v>
      </c>
    </row>
    <row r="10" spans="1:2" x14ac:dyDescent="0.35">
      <c r="A10" t="s">
        <v>142</v>
      </c>
      <c r="B10" t="s">
        <v>329</v>
      </c>
    </row>
    <row r="11" spans="1:2" x14ac:dyDescent="0.35">
      <c r="A11" t="s">
        <v>143</v>
      </c>
      <c r="B11" t="s">
        <v>343</v>
      </c>
    </row>
    <row r="12" spans="1:2" x14ac:dyDescent="0.35">
      <c r="A12" s="1" t="s">
        <v>144</v>
      </c>
      <c r="B12" t="s">
        <v>344</v>
      </c>
    </row>
    <row r="13" spans="1:2" x14ac:dyDescent="0.35">
      <c r="A13" t="s">
        <v>298</v>
      </c>
      <c r="B13" t="s">
        <v>337</v>
      </c>
    </row>
    <row r="14" spans="1:2" x14ac:dyDescent="0.35">
      <c r="A14" t="s">
        <v>299</v>
      </c>
      <c r="B14" t="s">
        <v>338</v>
      </c>
    </row>
    <row r="15" spans="1:2" x14ac:dyDescent="0.35">
      <c r="A15" t="s">
        <v>296</v>
      </c>
      <c r="B15" t="s">
        <v>339</v>
      </c>
    </row>
    <row r="16" spans="1:2" x14ac:dyDescent="0.35">
      <c r="A16" t="s">
        <v>297</v>
      </c>
      <c r="B16" t="s">
        <v>340</v>
      </c>
    </row>
    <row r="17" spans="1:2" x14ac:dyDescent="0.35">
      <c r="A17" s="5" t="s">
        <v>287</v>
      </c>
      <c r="B17" t="s">
        <v>331</v>
      </c>
    </row>
    <row r="18" spans="1:2" x14ac:dyDescent="0.35">
      <c r="A18" s="4" t="s">
        <v>291</v>
      </c>
      <c r="B18" t="s">
        <v>332</v>
      </c>
    </row>
    <row r="19" spans="1:2" x14ac:dyDescent="0.35">
      <c r="A19" s="4" t="s">
        <v>292</v>
      </c>
      <c r="B19" t="s">
        <v>333</v>
      </c>
    </row>
    <row r="20" spans="1:2" x14ac:dyDescent="0.35">
      <c r="A20" t="s">
        <v>293</v>
      </c>
      <c r="B20" t="s">
        <v>334</v>
      </c>
    </row>
    <row r="21" spans="1:2" x14ac:dyDescent="0.35">
      <c r="A21" t="s">
        <v>288</v>
      </c>
      <c r="B21" t="s">
        <v>335</v>
      </c>
    </row>
    <row r="22" spans="1:2" x14ac:dyDescent="0.35">
      <c r="A22" t="s">
        <v>289</v>
      </c>
      <c r="B22" t="s">
        <v>341</v>
      </c>
    </row>
    <row r="23" spans="1:2" x14ac:dyDescent="0.35">
      <c r="A23" t="s">
        <v>290</v>
      </c>
      <c r="B23" t="s">
        <v>336</v>
      </c>
    </row>
    <row r="24" spans="1:2" x14ac:dyDescent="0.35">
      <c r="A24" t="s">
        <v>294</v>
      </c>
      <c r="B24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6" sqref="A16"/>
    </sheetView>
  </sheetViews>
  <sheetFormatPr defaultRowHeight="14.5" x14ac:dyDescent="0.35"/>
  <cols>
    <col min="2" max="2" width="48.08984375" bestFit="1" customWidth="1"/>
    <col min="3" max="3" width="34.453125" bestFit="1" customWidth="1"/>
  </cols>
  <sheetData>
    <row r="1" spans="1:3" x14ac:dyDescent="0.35">
      <c r="A1" t="s">
        <v>367</v>
      </c>
      <c r="B1" t="s">
        <v>345</v>
      </c>
      <c r="C1" t="s">
        <v>346</v>
      </c>
    </row>
    <row r="2" spans="1:3" x14ac:dyDescent="0.35">
      <c r="A2" t="s">
        <v>305</v>
      </c>
      <c r="B2" t="s">
        <v>347</v>
      </c>
      <c r="C2" t="s">
        <v>348</v>
      </c>
    </row>
    <row r="3" spans="1:3" x14ac:dyDescent="0.35">
      <c r="A3" t="s">
        <v>303</v>
      </c>
      <c r="B3" t="s">
        <v>349</v>
      </c>
      <c r="C3" t="s">
        <v>350</v>
      </c>
    </row>
    <row r="4" spans="1:3" x14ac:dyDescent="0.35">
      <c r="A4" t="s">
        <v>309</v>
      </c>
      <c r="B4" t="s">
        <v>351</v>
      </c>
      <c r="C4" t="s">
        <v>352</v>
      </c>
    </row>
    <row r="5" spans="1:3" x14ac:dyDescent="0.35">
      <c r="A5" t="s">
        <v>306</v>
      </c>
      <c r="B5" t="s">
        <v>353</v>
      </c>
      <c r="C5" t="s">
        <v>354</v>
      </c>
    </row>
    <row r="6" spans="1:3" x14ac:dyDescent="0.35">
      <c r="A6" t="s">
        <v>320</v>
      </c>
      <c r="B6" t="s">
        <v>355</v>
      </c>
      <c r="C6" t="s">
        <v>356</v>
      </c>
    </row>
    <row r="7" spans="1:3" x14ac:dyDescent="0.35">
      <c r="A7" t="s">
        <v>301</v>
      </c>
      <c r="B7" t="s">
        <v>357</v>
      </c>
      <c r="C7" t="s">
        <v>358</v>
      </c>
    </row>
    <row r="8" spans="1:3" x14ac:dyDescent="0.35">
      <c r="A8" t="s">
        <v>307</v>
      </c>
      <c r="B8" t="s">
        <v>359</v>
      </c>
      <c r="C8" t="s">
        <v>360</v>
      </c>
    </row>
    <row r="9" spans="1:3" x14ac:dyDescent="0.35">
      <c r="A9" t="s">
        <v>308</v>
      </c>
      <c r="B9" t="s">
        <v>361</v>
      </c>
      <c r="C9" t="s">
        <v>362</v>
      </c>
    </row>
    <row r="10" spans="1:3" x14ac:dyDescent="0.35">
      <c r="A10" t="s">
        <v>304</v>
      </c>
      <c r="B10" t="s">
        <v>363</v>
      </c>
      <c r="C10" t="s">
        <v>364</v>
      </c>
    </row>
    <row r="11" spans="1:3" x14ac:dyDescent="0.35">
      <c r="A11" t="s">
        <v>302</v>
      </c>
      <c r="B11" t="s">
        <v>365</v>
      </c>
      <c r="C11" t="s">
        <v>366</v>
      </c>
    </row>
    <row r="12" spans="1:3" x14ac:dyDescent="0.35">
      <c r="A12" t="s">
        <v>311</v>
      </c>
      <c r="B12" t="s">
        <v>370</v>
      </c>
      <c r="C12" t="s">
        <v>373</v>
      </c>
    </row>
    <row r="13" spans="1:3" x14ac:dyDescent="0.35">
      <c r="A13" t="s">
        <v>368</v>
      </c>
      <c r="B13" t="s">
        <v>371</v>
      </c>
      <c r="C13" t="s">
        <v>373</v>
      </c>
    </row>
    <row r="14" spans="1:3" x14ac:dyDescent="0.35">
      <c r="A14" t="s">
        <v>369</v>
      </c>
      <c r="B14" t="s">
        <v>372</v>
      </c>
      <c r="C14" t="s">
        <v>373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Measurements</vt:lpstr>
      <vt:lpstr>Readme</vt:lpstr>
      <vt:lpstr>EMF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Quesada Alzamora, Gonzalo E</dc:creator>
  <cp:lastModifiedBy>de Quesada Alzamora, Gonzalo E</cp:lastModifiedBy>
  <dcterms:created xsi:type="dcterms:W3CDTF">2022-03-16T09:27:12Z</dcterms:created>
  <dcterms:modified xsi:type="dcterms:W3CDTF">2023-11-10T08:12:51Z</dcterms:modified>
</cp:coreProperties>
</file>